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wnloads\M\"/>
    </mc:Choice>
  </mc:AlternateContent>
  <xr:revisionPtr revIDLastSave="0" documentId="8_{CF372DBE-D11D-480D-A8D9-BEA9D4C6DD34}" xr6:coauthVersionLast="47" xr6:coauthVersionMax="47" xr10:uidLastSave="{00000000-0000-0000-0000-000000000000}"/>
  <bookViews>
    <workbookView xWindow="28680" yWindow="-3240" windowWidth="29040" windowHeight="15840" tabRatio="0" activeTab="3" xr2:uid="{00000000-000D-0000-FFFF-FFFF00000000}"/>
  </bookViews>
  <sheets>
    <sheet name="Assets" sheetId="2" r:id="rId1"/>
    <sheet name="Base" sheetId="1" r:id="rId2"/>
    <sheet name="Cálculos" sheetId="3" r:id="rId3"/>
    <sheet name="Dashboard" sheetId="4" r:id="rId4"/>
    <sheet name="Extras" sheetId="5" r:id="rId5"/>
  </sheets>
  <externalReferences>
    <externalReference r:id="rId6"/>
  </externalReferences>
  <definedNames>
    <definedName name="_xlnm._FilterDatabase" localSheetId="1" hidden="1">Base!$A$1:$M$99</definedName>
    <definedName name="SegmentaçãodeDados_Subscription_Type">#N/A</definedName>
    <definedName name="SegmentaçãodeDados_Subscription_Type1">#N/A</definedName>
  </definedNames>
  <calcPr calcId="191028"/>
  <pivotCaches>
    <pivotCache cacheId="25" r:id="rId7"/>
    <pivotCache cacheId="32" r:id="rId8"/>
  </pivotCaches>
  <fileRecoveryPr repairLoad="1"/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42" i="3"/>
</calcChain>
</file>

<file path=xl/sharedStrings.xml><?xml version="1.0" encoding="utf-8"?>
<sst xmlns="http://schemas.openxmlformats.org/spreadsheetml/2006/main" count="730" uniqueCount="150">
  <si>
    <t>Cores</t>
  </si>
  <si>
    <t>9BC848</t>
  </si>
  <si>
    <t>Graficos</t>
  </si>
  <si>
    <t>22C55E</t>
  </si>
  <si>
    <t>Positivo</t>
  </si>
  <si>
    <t>E8E6E9</t>
  </si>
  <si>
    <t>Zona Negativa</t>
  </si>
  <si>
    <r>
      <t>2AE6B1</t>
    </r>
    <r>
      <rPr>
        <sz val="12"/>
        <color theme="1"/>
        <rFont val="FkGroteskNeue"/>
        <charset val="1"/>
      </rPr>
      <t> </t>
    </r>
  </si>
  <si>
    <t>Menus</t>
  </si>
  <si>
    <t>5BF6A8</t>
  </si>
  <si>
    <t>Seções</t>
  </si>
  <si>
    <t xml:space="preserve"> </t>
  </si>
  <si>
    <t>Logos</t>
  </si>
  <si>
    <t> 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</si>
  <si>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</si>
  <si>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</si>
  <si>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</si>
  <si>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</si>
  <si>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</si>
  <si>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</si>
  <si>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</si>
  <si>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</si>
  <si>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</si>
  <si>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</si>
  <si>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</si>
  <si>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</si>
  <si>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</si>
  <si>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</si>
  <si>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</si>
  <si>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</si>
  <si>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</si>
  <si>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</si>
  <si>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Ana Souza</t>
  </si>
  <si>
    <t>No</t>
  </si>
  <si>
    <t>Camila Ribeiro</t>
  </si>
  <si>
    <t>Quarterly</t>
  </si>
  <si>
    <t>Sofia Almeida</t>
  </si>
  <si>
    <t>Marco Túlio</t>
  </si>
  <si>
    <t>Annual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</si>
  <si>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</si>
  <si>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</si>
  <si>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</si>
  <si>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</si>
  <si>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</si>
  <si>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</si>
  <si>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</si>
  <si>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Bruno Cavalheiro</t>
  </si>
  <si>
    <t>Eunice Lima</t>
  </si>
  <si>
    <t>Hélio Castro</t>
  </si>
  <si>
    <t>Kléber Oliveira</t>
  </si>
  <si>
    <t>Nilo Peçanha</t>
  </si>
  <si>
    <t>Quirino Gonçalves</t>
  </si>
  <si>
    <t>Tiago Ramos</t>
  </si>
  <si>
    <t>William Siqueira</t>
  </si>
  <si>
    <t>Zacarias Alves</t>
  </si>
  <si>
    <t>Carla Bruni</t>
  </si>
  <si>
    <t>Fábio Nobre</t>
  </si>
  <si>
    <t>Ivan Carvalho</t>
  </si>
  <si>
    <t>Lucas Mendes</t>
  </si>
  <si>
    <t>Otávio Barros</t>
  </si>
  <si>
    <t>Raquel Novaes</t>
  </si>
  <si>
    <t>Ulysses Guimarães</t>
  </si>
  <si>
    <t>Ximena Rocha</t>
  </si>
  <si>
    <t>Alan Teixeira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</si>
  <si>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</si>
  <si>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</si>
  <si>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</si>
  <si>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</si>
  <si>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</si>
  <si>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</si>
  <si>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</si>
  <si>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</si>
  <si>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</si>
  <si>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</si>
  <si>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</si>
  <si>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</si>
  <si>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</si>
  <si>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</si>
  <si>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</si>
  <si>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</si>
  <si>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Fabiano Gomes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</si>
  <si>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</si>
  <si>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</si>
  <si>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</si>
  <si>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</si>
  <si>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</si>
  <si>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</si>
  <si>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</si>
  <si>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</si>
  <si>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</si>
  <si>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</si>
  <si>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</si>
  <si>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</si>
  <si>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</si>
  <si>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</si>
  <si>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</si>
  <si>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</si>
  <si>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</si>
  <si>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</si>
  <si>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</si>
  <si>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</si>
  <si>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</si>
  <si>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</si>
  <si>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</si>
  <si>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</si>
  <si>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</si>
  <si>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</si>
  <si>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</si>
  <si>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</si>
  <si>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</si>
  <si>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Bruno Santos</t>
  </si>
  <si>
    <t>Elisa Neves</t>
  </si>
  <si>
    <t>Hélio Costa</t>
  </si>
  <si>
    <t>Klara Silva</t>
  </si>
  <si>
    <t>Natália Soares</t>
  </si>
  <si>
    <t>Quirino Neto</t>
  </si>
  <si>
    <t>Sandro Almeida</t>
  </si>
  <si>
    <t>Valéria Lima</t>
  </si>
  <si>
    <t>Ygor Farias</t>
  </si>
  <si>
    <t>Bruno Costa</t>
  </si>
  <si>
    <t>Elisa Correia</t>
  </si>
  <si>
    <t>Henrique Gonçalves</t>
  </si>
  <si>
    <t>Klara Fonseca</t>
  </si>
  <si>
    <t>Natália Castro</t>
  </si>
  <si>
    <t>Quentin Nogueira</t>
  </si>
  <si>
    <t>Tânia Machado</t>
  </si>
  <si>
    <t>William Carvalho</t>
  </si>
  <si>
    <t>Zacarias Duarte</t>
  </si>
  <si>
    <t>Carla Siqueira</t>
  </si>
  <si>
    <t>Contagem de Subscription Type</t>
  </si>
  <si>
    <t>Total Geral</t>
  </si>
  <si>
    <t>Rótulos de Linha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</si>
  <si>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</si>
  <si>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Pergunta de Negócio 1 - Qual o percentual de optantes de </t>
    </r>
    <r>
      <rPr>
        <b/>
        <sz val="11"/>
        <color theme="1"/>
        <rFont val="Aptos Narrow"/>
        <family val="2"/>
        <scheme val="minor"/>
      </rPr>
      <t>auto renovação</t>
    </r>
    <r>
      <rPr>
        <sz val="11"/>
        <color theme="1"/>
        <rFont val="Aptos Narrow"/>
        <family val="2"/>
        <scheme val="minor"/>
      </rPr>
      <t xml:space="preserve"> por </t>
    </r>
    <r>
      <rPr>
        <b/>
        <sz val="11"/>
        <color theme="1"/>
        <rFont val="Aptos Narrow"/>
        <family val="2"/>
        <scheme val="minor"/>
      </rPr>
      <t>tipo de assinatura</t>
    </r>
    <r>
      <rPr>
        <sz val="11"/>
        <color theme="1"/>
        <rFont val="Aptos Narrow"/>
        <family val="2"/>
        <scheme val="minor"/>
      </rPr>
      <t>?</t>
    </r>
  </si>
  <si>
    <r>
      <t xml:space="preserve">Pergunta de Negócio 2 - Em </t>
    </r>
    <r>
      <rPr>
        <b/>
        <sz val="11"/>
        <color theme="1"/>
        <rFont val="Aptos Narrow"/>
        <family val="2"/>
        <scheme val="minor"/>
      </rPr>
      <t xml:space="preserve">quais meses </t>
    </r>
    <r>
      <rPr>
        <sz val="11"/>
        <color theme="1"/>
        <rFont val="Aptos Narrow"/>
        <family val="2"/>
        <scheme val="minor"/>
      </rPr>
      <t>são feitas mais assinaturas e de quais t</t>
    </r>
    <r>
      <rPr>
        <b/>
        <sz val="11"/>
        <color theme="1"/>
        <rFont val="Aptos Narrow"/>
        <family val="2"/>
        <scheme val="minor"/>
      </rPr>
      <t xml:space="preserve">ipos de assinatura </t>
    </r>
    <r>
      <rPr>
        <sz val="11"/>
        <color theme="1"/>
        <rFont val="Aptos Narrow"/>
        <family val="2"/>
        <scheme val="minor"/>
      </rPr>
      <t>?</t>
    </r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</si>
  <si>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</si>
  <si>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</si>
  <si>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</si>
  <si>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</si>
  <si>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</si>
  <si>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</si>
  <si>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</si>
  <si>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</si>
  <si>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</si>
  <si>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</si>
  <si>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Name</t>
  </si>
  <si>
    <t>Pergunta Negócio 3 - Total de Vendas de Assinaturas do EA Play</t>
  </si>
  <si>
    <t>Soma de Minecraft Season Pass Price</t>
  </si>
  <si>
    <t>Pergunta Negócio 3 - Total de Vendas de Assinaturas do Minecraft Season Pass</t>
  </si>
  <si>
    <t>Soma de EA Play Season Pass
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</si>
</sst>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11">
    <font>
      <sz val="11"/>
      <color theme="1"/>
      <name val="Aptos Narrow"/>
      <family val="2"/>
      <scheme val="minor"/>
    </font>
    <font>
      <b/>
      <sz val="15"/>
      <color theme="3"/>
      <name val="Aptos Narrow"/>
      <scheme val="minor"/>
    </font>
    <font>
      <b/>
      <sz val="13"/>
      <color theme="3"/>
      <name val="Aptos Narrow"/>
      <scheme val="minor"/>
    </font>
    <font>
      <sz val="12"/>
      <color theme="1"/>
      <name val="FkGroteskNeue"/>
      <charset val="1"/>
    </font>
    <font>
      <sz val="11"/>
      <color rgb="FF000000"/>
      <name val="Aptos Narrow"/>
      <family val="2"/>
    </font>
    <font>
      <b/>
      <sz val="15"/>
      <color rgb="FF0E2841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196B24"/>
        <bgColor rgb="FF196B2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rgb="FF22C55E"/>
      </bottom>
      <diagonal/>
    </border>
    <border>
      <left/>
      <right/>
      <top/>
      <bottom style="thick">
        <color rgb="FF156082"/>
      </bottom>
      <diagonal/>
    </border>
    <border>
      <left style="thin">
        <color rgb="FF196B24"/>
      </left>
      <right/>
      <top style="thin">
        <color rgb="FF196B24"/>
      </top>
      <bottom/>
      <diagonal/>
    </border>
    <border>
      <left/>
      <right/>
      <top style="thin">
        <color rgb="FF196B24"/>
      </top>
      <bottom/>
      <diagonal/>
    </border>
    <border>
      <left/>
      <right style="thin">
        <color rgb="FF196B24"/>
      </right>
      <top style="thin">
        <color rgb="FF196B2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44" fontId="7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3" xfId="0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3" xfId="0" applyFont="1" applyFill="1" applyBorder="1"/>
    <xf numFmtId="0" fontId="4" fillId="0" borderId="0" xfId="0" applyFont="1"/>
    <xf numFmtId="0" fontId="5" fillId="0" borderId="4" xfId="0" applyFont="1" applyBorder="1"/>
    <xf numFmtId="0" fontId="4" fillId="7" borderId="0" xfId="0" applyFont="1" applyFill="1"/>
    <xf numFmtId="0" fontId="6" fillId="8" borderId="5" xfId="0" applyFont="1" applyFill="1" applyBorder="1" applyAlignment="1">
      <alignment wrapText="1"/>
    </xf>
    <xf numFmtId="0" fontId="6" fillId="8" borderId="6" xfId="0" applyFont="1" applyFill="1" applyBorder="1" applyAlignment="1">
      <alignment wrapText="1"/>
    </xf>
    <xf numFmtId="0" fontId="6" fillId="8" borderId="7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14" fontId="4" fillId="0" borderId="6" xfId="0" applyNumberFormat="1" applyFont="1" applyBorder="1" applyAlignment="1">
      <alignment wrapText="1"/>
    </xf>
    <xf numFmtId="8" fontId="4" fillId="0" borderId="6" xfId="0" applyNumberFormat="1" applyFont="1" applyBorder="1" applyAlignment="1">
      <alignment wrapText="1"/>
    </xf>
    <xf numFmtId="8" fontId="4" fillId="0" borderId="7" xfId="0" applyNumberFormat="1" applyFont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3" borderId="0" xfId="0" applyFill="1"/>
    <xf numFmtId="0" fontId="0" fillId="4" borderId="0" xfId="0" applyFill="1"/>
    <xf numFmtId="0" fontId="0" fillId="9" borderId="0" xfId="0" applyFill="1"/>
    <xf numFmtId="44" fontId="0" fillId="0" borderId="0" xfId="3" applyFont="1"/>
    <xf numFmtId="0" fontId="0" fillId="0" borderId="0" xfId="0" applyAlignment="1">
      <alignment wrapText="1"/>
    </xf>
    <xf numFmtId="0" fontId="1" fillId="0" borderId="8" xfId="1" applyFill="1" applyBorder="1"/>
    <xf numFmtId="0" fontId="9" fillId="4" borderId="0" xfId="4" applyFill="1" applyBorder="1"/>
    <xf numFmtId="0" fontId="2" fillId="0" borderId="2" xfId="2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left" wrapText="1"/>
    </xf>
    <xf numFmtId="0" fontId="0" fillId="0" borderId="0" xfId="0" applyNumberFormat="1"/>
    <xf numFmtId="0" fontId="0" fillId="0" borderId="0" xfId="0" pivotButton="1" applyFont="1"/>
    <xf numFmtId="8" fontId="0" fillId="0" borderId="0" xfId="0" applyNumberFormat="1"/>
    <xf numFmtId="165" fontId="0" fillId="0" borderId="0" xfId="0" applyNumberFormat="1"/>
    <xf numFmtId="0" fontId="10" fillId="4" borderId="0" xfId="0" applyFont="1" applyFill="1"/>
  </cellXfs>
  <cellStyles count="5">
    <cellStyle name="Hiperlink" xfId="4" builtinId="8"/>
    <cellStyle name="Moeda" xfId="3" builtinId="4"/>
    <cellStyle name="Normal" xfId="0" builtinId="0"/>
    <cellStyle name="Título 1" xfId="1" builtinId="16"/>
    <cellStyle name="Título 2" xfId="2" builtinId="17"/>
  </cellStyles>
  <dxfs count="9">
    <dxf>
      <font>
        <b/>
        <i val="0"/>
        <color theme="0"/>
        <name val="Segoe 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u val="none"/>
      </font>
    </dxf>
    <dxf>
      <font>
        <u val="none"/>
      </font>
    </dxf>
    <dxf>
      <font>
        <u/>
      </font>
    </dxf>
    <dxf>
      <font>
        <u val="none"/>
      </font>
    </dxf>
    <dxf>
      <font>
        <u/>
      </font>
    </dxf>
    <dxf>
      <font>
        <u/>
      </font>
    </dxf>
    <dxf>
      <font>
        <u/>
      </font>
    </dxf>
  </dxfs>
  <tableStyles count="1" defaultTableStyle="TableStyleMedium2" defaultPivotStyle="PivotStyleLight16">
    <tableStyle name="SlicerStyleLight3 2" pivot="0" table="0" count="10" xr9:uid="{64DB77C3-21C6-4885-8978-724650DFB1CC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9BC848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[Dashboard_gamepass_2024_Final.xlsx]Cálculos!Tabela dinâmica2</c:name>
    <c:fmtId val="50"/>
  </c:pivotSource>
  <c:chart>
    <c:autoTitleDeleted val="1"/>
    <c:pivotFmts>
      <c:pivotFmt>
        <c:idx val="0"/>
        <c:spPr>
          <a:solidFill>
            <a:schemeClr val="accent3">
              <a:alpha val="70000"/>
            </a:schemeClr>
          </a:solidFill>
          <a:ln>
            <a:noFill/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50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3"/>
              </a:solidFill>
              <a:round/>
            </a:ln>
            <a:effectLst>
              <a:outerShdw blurRad="50800" dist="38100" dir="2700000" algn="tl" rotWithShape="0">
                <a:schemeClr val="accent3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70000"/>
            </a:schemeClr>
          </a:solidFill>
          <a:ln>
            <a:noFill/>
          </a:ln>
          <a:effectLst>
            <a:innerShdw blurRad="114300">
              <a:schemeClr val="accent3">
                <a:shade val="7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layout>
            <c:manualLayout>
              <c:x val="-0.15317191601049868"/>
              <c:y val="8.977654721582321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</a:t>
                </a:r>
              </a:p>
            </c:rich>
          </c:tx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3"/>
              </a:solidFill>
              <a:round/>
            </a:ln>
            <a:effectLst>
              <a:outerShdw blurRad="50800" dist="38100" dir="2700000" algn="tl" rotWithShape="0">
                <a:schemeClr val="accent3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3">
              <a:alpha val="70000"/>
            </a:schemeClr>
          </a:solidFill>
          <a:ln>
            <a:noFill/>
          </a:ln>
          <a:effectLst>
            <a:innerShdw blurRad="114300">
              <a:schemeClr val="accent3">
                <a:tint val="77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layout>
            <c:manualLayout>
              <c:x val="0.2422489063867016"/>
              <c:y val="-0.1157806802989098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Auto Renewal</a:t>
                </a:r>
              </a:p>
            </c:rich>
          </c:tx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3"/>
              </a:solidFill>
              <a:round/>
            </a:ln>
            <a:effectLst>
              <a:outerShdw blurRad="50800" dist="38100" dir="2700000" algn="tl" rotWithShape="0">
                <a:schemeClr val="accent3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3">
              <a:alpha val="70000"/>
            </a:schemeClr>
          </a:solidFill>
          <a:ln>
            <a:noFill/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0.11834317585301837"/>
              <c:y val="0.12651575259138473"/>
            </c:manualLayout>
          </c:layout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3"/>
              </a:solidFill>
              <a:round/>
            </a:ln>
            <a:effectLst>
              <a:outerShdw blurRad="50800" dist="38100" dir="2700000" algn="tl" rotWithShape="0">
                <a:schemeClr val="accent3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alpha val="70000"/>
            </a:schemeClr>
          </a:solidFill>
          <a:ln>
            <a:noFill/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5"/>
        <c:spPr>
          <a:solidFill>
            <a:schemeClr val="accent3">
              <a:alpha val="70000"/>
            </a:schemeClr>
          </a:solidFill>
          <a:ln>
            <a:noFill/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3"/>
              </a:solidFill>
              <a:round/>
            </a:ln>
            <a:effectLst>
              <a:outerShdw blurRad="50800" dist="38100" dir="2700000" algn="tl" rotWithShape="0">
                <a:schemeClr val="accent3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alpha val="70000"/>
            </a:schemeClr>
          </a:solidFill>
          <a:ln>
            <a:noFill/>
          </a:ln>
          <a:effectLst>
            <a:innerShdw blurRad="114300">
              <a:schemeClr val="accent3">
                <a:shade val="7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layout>
            <c:manualLayout>
              <c:x val="-0.15317191601049868"/>
              <c:y val="8.977654721582321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</a:t>
                </a:r>
              </a:p>
            </c:rich>
          </c:tx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3"/>
              </a:solidFill>
              <a:round/>
            </a:ln>
            <a:effectLst>
              <a:outerShdw blurRad="50800" dist="38100" dir="2700000" algn="tl" rotWithShape="0">
                <a:schemeClr val="accent3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3">
              <a:alpha val="70000"/>
            </a:schemeClr>
          </a:solidFill>
          <a:ln>
            <a:noFill/>
          </a:ln>
          <a:effectLst>
            <a:innerShdw blurRad="114300">
              <a:schemeClr val="accent3">
                <a:tint val="77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layout>
            <c:manualLayout>
              <c:x val="0.2422489063867016"/>
              <c:y val="-0.1157806802989098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Auto Renewal</a:t>
                </a:r>
              </a:p>
            </c:rich>
          </c:tx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3"/>
              </a:solidFill>
              <a:round/>
            </a:ln>
            <a:effectLst>
              <a:outerShdw blurRad="50800" dist="38100" dir="2700000" algn="tl" rotWithShape="0">
                <a:schemeClr val="accent3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3">
              <a:alpha val="70000"/>
            </a:schemeClr>
          </a:solidFill>
          <a:ln>
            <a:noFill/>
          </a:ln>
          <a:effectLst>
            <a:innerShdw blurRad="114300">
              <a:schemeClr val="accent3">
                <a:shade val="58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3"/>
              </a:solidFill>
              <a:round/>
            </a:ln>
            <a:effectLst>
              <a:outerShdw blurRad="50800" dist="38100" dir="2700000" algn="tl" rotWithShape="0">
                <a:schemeClr val="accent3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3">
              <a:alpha val="70000"/>
            </a:schemeClr>
          </a:solidFill>
          <a:ln>
            <a:noFill/>
          </a:ln>
          <a:effectLst>
            <a:innerShdw blurRad="114300">
              <a:schemeClr val="accent3">
                <a:shade val="8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3"/>
              </a:solidFill>
              <a:round/>
            </a:ln>
            <a:effectLst>
              <a:outerShdw blurRad="50800" dist="38100" dir="2700000" algn="tl" rotWithShape="0">
                <a:schemeClr val="accent3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3"/>
              </a:solidFill>
              <a:round/>
            </a:ln>
            <a:effectLst>
              <a:outerShdw blurRad="50800" dist="38100" dir="2700000" algn="tl" rotWithShape="0">
                <a:schemeClr val="accent3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3"/>
              </a:solidFill>
              <a:round/>
            </a:ln>
            <a:effectLst>
              <a:outerShdw blurRad="50800" dist="38100" dir="2700000" algn="tl" rotWithShape="0">
                <a:schemeClr val="accent3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186C2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6375354172248"/>
                  <c:h val="0.22294234347467129"/>
                </c:manualLayout>
              </c15:layout>
            </c:ext>
          </c:extLst>
        </c:dLbl>
      </c:pivotFmt>
      <c:pivotFmt>
        <c:idx val="1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14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15"/>
        <c:spPr>
          <a:solidFill>
            <a:schemeClr val="accent3">
              <a:shade val="76000"/>
              <a:alpha val="90000"/>
            </a:schemeClr>
          </a:solidFill>
          <a:ln w="19050">
            <a:solidFill>
              <a:schemeClr val="accent3">
                <a:shade val="76000"/>
                <a:lumMod val="75000"/>
              </a:schemeClr>
            </a:solidFill>
          </a:ln>
          <a:effectLst>
            <a:innerShdw blurRad="114300">
              <a:schemeClr val="accent3">
                <a:shade val="7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shade val="76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solidFill>
            <a:schemeClr val="accent3">
              <a:tint val="77000"/>
              <a:alpha val="90000"/>
            </a:schemeClr>
          </a:solidFill>
          <a:ln w="19050">
            <a:solidFill>
              <a:schemeClr val="accent3">
                <a:tint val="77000"/>
                <a:lumMod val="75000"/>
              </a:schemeClr>
            </a:solidFill>
          </a:ln>
          <a:effectLst>
            <a:innerShdw blurRad="114300">
              <a:schemeClr val="accent3">
                <a:tint val="77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tint val="77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>
              <a:tint val="77000"/>
              <a:alpha val="90000"/>
            </a:schemeClr>
          </a:solidFill>
          <a:ln w="19050">
            <a:solidFill>
              <a:schemeClr val="accent3">
                <a:tint val="77000"/>
                <a:lumMod val="75000"/>
              </a:schemeClr>
            </a:solidFill>
          </a:ln>
          <a:effectLst>
            <a:innerShdw blurRad="114300">
              <a:schemeClr val="accent3">
                <a:tint val="77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tint val="77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>
                      <a:tint val="77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>
              <a:shade val="76000"/>
              <a:alpha val="90000"/>
            </a:schemeClr>
          </a:solidFill>
          <a:ln w="19050">
            <a:solidFill>
              <a:schemeClr val="accent3">
                <a:shade val="76000"/>
                <a:lumMod val="75000"/>
              </a:schemeClr>
            </a:solidFill>
          </a:ln>
          <a:effectLst>
            <a:innerShdw blurRad="114300">
              <a:schemeClr val="accent3">
                <a:shade val="7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shade val="76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>
                      <a:shade val="76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>
              <a:tint val="77000"/>
              <a:alpha val="90000"/>
            </a:schemeClr>
          </a:solidFill>
          <a:ln w="19050">
            <a:solidFill>
              <a:schemeClr val="accent3">
                <a:tint val="77000"/>
                <a:lumMod val="75000"/>
              </a:schemeClr>
            </a:solidFill>
          </a:ln>
          <a:effectLst>
            <a:innerShdw blurRad="114300">
              <a:schemeClr val="accent3">
                <a:tint val="77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tint val="77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>
                      <a:tint val="77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>
              <a:shade val="76000"/>
              <a:alpha val="90000"/>
            </a:schemeClr>
          </a:solidFill>
          <a:ln w="19050">
            <a:solidFill>
              <a:schemeClr val="accent3">
                <a:shade val="76000"/>
                <a:lumMod val="75000"/>
              </a:schemeClr>
            </a:solidFill>
          </a:ln>
          <a:effectLst>
            <a:innerShdw blurRad="114300">
              <a:schemeClr val="accent3">
                <a:shade val="7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shade val="76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>
                      <a:shade val="76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4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>
                  <a:shade val="76000"/>
                </a:srgbClr>
              </a:solidFill>
              <a:round/>
            </a:ln>
            <a:effectLst>
              <a:outerShdw blurRad="50800" dist="38100" dir="2700000" algn="tl" rotWithShape="0">
                <a:srgbClr val="186C24">
                  <a:shade val="7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5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marker>
          <c:symbol val="none"/>
        </c:marker>
        <c:dLbl>
          <c:idx val="0"/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>
              <a:tint val="77000"/>
              <a:alpha val="90000"/>
            </a:schemeClr>
          </a:solidFill>
          <a:ln w="19050">
            <a:solidFill>
              <a:schemeClr val="accent3">
                <a:tint val="77000"/>
                <a:lumMod val="75000"/>
              </a:schemeClr>
            </a:solidFill>
          </a:ln>
          <a:effectLst>
            <a:innerShdw blurRad="114300">
              <a:schemeClr val="accent3">
                <a:tint val="77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tint val="77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7"/>
        <c:spPr>
          <a:solidFill>
            <a:schemeClr val="accent3">
              <a:shade val="76000"/>
              <a:alpha val="90000"/>
            </a:schemeClr>
          </a:solidFill>
          <a:ln w="19050">
            <a:solidFill>
              <a:schemeClr val="accent3">
                <a:shade val="76000"/>
                <a:lumMod val="75000"/>
              </a:schemeClr>
            </a:solidFill>
          </a:ln>
          <a:effectLst>
            <a:innerShdw blurRad="114300">
              <a:schemeClr val="accent3">
                <a:shade val="7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shade val="76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8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3">
              <a:tint val="77000"/>
              <a:alpha val="90000"/>
            </a:schemeClr>
          </a:solidFill>
          <a:ln w="19050">
            <a:solidFill>
              <a:schemeClr val="accent3">
                <a:tint val="77000"/>
                <a:lumMod val="75000"/>
              </a:schemeClr>
            </a:solidFill>
          </a:ln>
          <a:effectLst>
            <a:innerShdw blurRad="114300">
              <a:schemeClr val="accent3">
                <a:tint val="77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tint val="77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>
              <a:shade val="76000"/>
              <a:alpha val="90000"/>
            </a:schemeClr>
          </a:solidFill>
          <a:ln w="19050">
            <a:solidFill>
              <a:schemeClr val="accent3">
                <a:shade val="76000"/>
                <a:lumMod val="75000"/>
              </a:schemeClr>
            </a:solidFill>
          </a:ln>
          <a:effectLst>
            <a:innerShdw blurRad="114300">
              <a:schemeClr val="accent3">
                <a:shade val="7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shade val="76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3">
              <a:alpha val="90000"/>
            </a:schemeClr>
          </a:solidFill>
          <a:ln w="19050">
            <a:noFill/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3">
              <a:tint val="77000"/>
              <a:alpha val="90000"/>
            </a:schemeClr>
          </a:solidFill>
          <a:ln w="19050">
            <a:noFill/>
          </a:ln>
          <a:effectLst>
            <a:innerShdw blurRad="114300">
              <a:schemeClr val="accent3">
                <a:tint val="77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prstMaterial="flat">
            <a:contourClr>
              <a:schemeClr val="accent3">
                <a:tint val="77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3">
              <a:shade val="76000"/>
              <a:alpha val="90000"/>
            </a:schemeClr>
          </a:solidFill>
          <a:ln w="19050">
            <a:noFill/>
          </a:ln>
          <a:effectLst>
            <a:innerShdw blurRad="114300">
              <a:schemeClr val="accent3">
                <a:shade val="7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prstMaterial="flat">
            <a:contourClr>
              <a:schemeClr val="accent3">
                <a:shade val="76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>
              <a:alpha val="90000"/>
            </a:schemeClr>
          </a:solidFill>
          <a:ln w="19050">
            <a:noFill/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3">
              <a:tint val="77000"/>
              <a:alpha val="90000"/>
            </a:schemeClr>
          </a:solidFill>
          <a:ln w="19050">
            <a:noFill/>
          </a:ln>
          <a:effectLst>
            <a:innerShdw blurRad="114300">
              <a:schemeClr val="accent3">
                <a:tint val="77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prstMaterial="flat">
            <a:contourClr>
              <a:schemeClr val="accent3">
                <a:tint val="77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3">
              <a:shade val="76000"/>
              <a:alpha val="90000"/>
            </a:schemeClr>
          </a:solidFill>
          <a:ln w="19050">
            <a:noFill/>
          </a:ln>
          <a:effectLst>
            <a:innerShdw blurRad="114300">
              <a:schemeClr val="accent3">
                <a:shade val="7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prstMaterial="flat">
            <a:contourClr>
              <a:schemeClr val="accent3">
                <a:shade val="76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3">
              <a:alpha val="90000"/>
            </a:schemeClr>
          </a:solidFill>
          <a:ln w="19050">
            <a:noFill/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3">
              <a:tint val="77000"/>
              <a:alpha val="90000"/>
            </a:schemeClr>
          </a:solidFill>
          <a:ln w="19050">
            <a:noFill/>
          </a:ln>
          <a:effectLst>
            <a:innerShdw blurRad="114300">
              <a:schemeClr val="accent3">
                <a:tint val="77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prstMaterial="flat">
            <a:contourClr>
              <a:schemeClr val="accent3">
                <a:tint val="77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3">
              <a:shade val="76000"/>
              <a:alpha val="90000"/>
            </a:schemeClr>
          </a:solidFill>
          <a:ln w="19050">
            <a:noFill/>
          </a:ln>
          <a:effectLst>
            <a:innerShdw blurRad="114300">
              <a:schemeClr val="accent3">
                <a:shade val="7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prstMaterial="flat">
            <a:contourClr>
              <a:schemeClr val="accent3">
                <a:shade val="76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86C24"/>
              </a:solidFill>
              <a:round/>
            </a:ln>
            <a:effectLst>
              <a:outerShdw blurRad="50800" dist="38100" dir="2700000" algn="tl" rotWithShape="0">
                <a:srgbClr val="186C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40"/>
      <c:rotY val="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3125487692416827E-3"/>
          <c:y val="0"/>
          <c:w val="0.99768726992193069"/>
          <c:h val="1"/>
        </c:manualLayout>
      </c:layout>
      <c:pie3DChart>
        <c:varyColors val="1"/>
        <c:ser>
          <c:idx val="0"/>
          <c:order val="0"/>
          <c:tx>
            <c:strRef>
              <c:f>Cálculos!$B$6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explosion val="16"/>
          <c:dPt>
            <c:idx val="0"/>
            <c:bubble3D val="0"/>
            <c:spPr>
              <a:solidFill>
                <a:schemeClr val="accent3">
                  <a:tint val="77000"/>
                  <a:alpha val="90000"/>
                </a:schemeClr>
              </a:solidFill>
              <a:ln w="19050">
                <a:noFill/>
              </a:ln>
              <a:effectLst>
                <a:innerShdw blurRad="114300">
                  <a:schemeClr val="accent3">
                    <a:tint val="77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prstMaterial="flat">
                <a:contourClr>
                  <a:schemeClr val="accent3">
                    <a:tint val="77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C8D-413F-9B7E-F08110215A1F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  <a:alpha val="90000"/>
                </a:schemeClr>
              </a:solidFill>
              <a:ln w="19050">
                <a:noFill/>
              </a:ln>
              <a:effectLst>
                <a:innerShdw blurRad="114300">
                  <a:schemeClr val="accent3">
                    <a:shade val="76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prstMaterial="flat">
                <a:contourClr>
                  <a:schemeClr val="accent3">
                    <a:shade val="76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C8D-413F-9B7E-F08110215A1F}"/>
              </c:ext>
            </c:extLst>
          </c:dPt>
          <c:dPt>
            <c:idx val="2"/>
            <c:bubble3D val="0"/>
            <c:spPr>
              <a:solidFill>
                <a:schemeClr val="accent3">
                  <a:shade val="76000"/>
                  <a:alpha val="90000"/>
                </a:schemeClr>
              </a:solidFill>
              <a:ln w="19050">
                <a:noFill/>
              </a:ln>
              <a:effectLst>
                <a:innerShdw blurRad="114300">
                  <a:schemeClr val="accent3">
                    <a:shade val="76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C8D-413F-9B7E-F08110215A1F}"/>
              </c:ext>
            </c:extLst>
          </c:dPt>
          <c:dPt>
            <c:idx val="3"/>
            <c:bubble3D val="0"/>
            <c:spPr>
              <a:solidFill>
                <a:schemeClr val="accent3">
                  <a:shade val="76000"/>
                  <a:alpha val="90000"/>
                </a:schemeClr>
              </a:solidFill>
              <a:ln w="19050">
                <a:noFill/>
              </a:ln>
              <a:effectLst>
                <a:innerShdw blurRad="114300">
                  <a:schemeClr val="accent3">
                    <a:shade val="76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C8D-413F-9B7E-F08110215A1F}"/>
              </c:ext>
            </c:extLst>
          </c:dPt>
          <c:dLbls>
            <c:dLbl>
              <c:idx val="0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86C24"/>
                  </a:solidFill>
                  <a:round/>
                </a:ln>
                <a:effectLst>
                  <a:outerShdw blurRad="50800" dist="38100" dir="2700000" algn="tl" rotWithShape="0">
                    <a:srgbClr val="186C2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C8D-413F-9B7E-F08110215A1F}"/>
                </c:ext>
              </c:extLst>
            </c:dLbl>
            <c:dLbl>
              <c:idx val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186C24"/>
                  </a:solidFill>
                  <a:round/>
                </a:ln>
                <a:effectLst>
                  <a:outerShdw blurRad="50800" dist="38100" dir="2700000" algn="tl" rotWithShape="0">
                    <a:srgbClr val="186C2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C8D-413F-9B7E-F08110215A1F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86C24"/>
                </a:solidFill>
                <a:round/>
              </a:ln>
              <a:effectLst>
                <a:outerShdw blurRad="50800" dist="38100" dir="2700000" algn="tl" rotWithShape="0">
                  <a:srgbClr val="186C2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Cálculos!$A$7:$A$9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Cálculos!$B$7:$B$9</c:f>
              <c:numCache>
                <c:formatCode>General</c:formatCode>
                <c:ptCount val="2"/>
                <c:pt idx="0">
                  <c:v>14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8D-413F-9B7E-F08110215A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[Dashboard_gamepass_2024_Final.xlsx]Cálculos!Tabela dinâmica3</c:name>
    <c:fmtId val="8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Cálculos!$A$16:$A$26</c:f>
              <c:strCache>
                <c:ptCount val="10"/>
                <c:pt idx="0">
                  <c:v>mar</c:v>
                </c:pt>
                <c:pt idx="1">
                  <c:v>abr</c:v>
                </c:pt>
                <c:pt idx="2">
                  <c:v>mai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set</c:v>
                </c:pt>
                <c:pt idx="7">
                  <c:v>out</c:v>
                </c:pt>
                <c:pt idx="8">
                  <c:v>nov</c:v>
                </c:pt>
                <c:pt idx="9">
                  <c:v>dez</c:v>
                </c:pt>
              </c:strCache>
            </c:strRef>
          </c:cat>
          <c:val>
            <c:numRef>
              <c:f>Cálculos!$B$16:$B$26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8-46DE-B215-F5DF05EAD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062848"/>
        <c:axId val="2004079648"/>
      </c:barChart>
      <c:catAx>
        <c:axId val="200406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4079648"/>
        <c:crosses val="autoZero"/>
        <c:auto val="1"/>
        <c:lblAlgn val="ctr"/>
        <c:lblOffset val="100"/>
        <c:noMultiLvlLbl val="0"/>
      </c:catAx>
      <c:valAx>
        <c:axId val="2004079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40628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image" Target="../media/image8.sv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11</xdr:col>
      <xdr:colOff>533400</xdr:colOff>
      <xdr:row>16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F53347-A9E8-4537-C562-3489FAFCE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0" y="2228850"/>
          <a:ext cx="2362200" cy="1104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95250</xdr:rowOff>
    </xdr:from>
    <xdr:to>
      <xdr:col>4</xdr:col>
      <xdr:colOff>409575</xdr:colOff>
      <xdr:row>20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3FAA42C-2FA7-F3B5-51F7-0B100785443D}"/>
            </a:ext>
            <a:ext uri="{147F2762-F138-4A5C-976F-8EAC2B608ADB}">
              <a16:predDERef xmlns:a16="http://schemas.microsoft.com/office/drawing/2014/main" pred="{6AF53347-A9E8-4537-C562-3489FAFCE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4100"/>
          <a:ext cx="3114675" cy="1628775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10</xdr:row>
      <xdr:rowOff>228600</xdr:rowOff>
    </xdr:from>
    <xdr:to>
      <xdr:col>6</xdr:col>
      <xdr:colOff>352425</xdr:colOff>
      <xdr:row>15</xdr:row>
      <xdr:rowOff>47625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E9335A3-4C87-DD85-696B-4897E8149DB6}"/>
            </a:ext>
            <a:ext uri="{147F2762-F138-4A5C-976F-8EAC2B608ADB}">
              <a16:predDERef xmlns:a16="http://schemas.microsoft.com/office/drawing/2014/main" pred="{63FAA42C-2FA7-F3B5-51F7-0B1007854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38525" y="2209800"/>
          <a:ext cx="838200" cy="828675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</xdr:colOff>
      <xdr:row>15</xdr:row>
      <xdr:rowOff>9525</xdr:rowOff>
    </xdr:from>
    <xdr:to>
      <xdr:col>6</xdr:col>
      <xdr:colOff>571500</xdr:colOff>
      <xdr:row>18</xdr:row>
      <xdr:rowOff>152400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ACA632F-05DE-A81E-3A35-B549005A8DD3}"/>
            </a:ext>
            <a:ext uri="{147F2762-F138-4A5C-976F-8EAC2B608ADB}">
              <a16:predDERef xmlns:a16="http://schemas.microsoft.com/office/drawing/2014/main" pred="{6E9335A3-4C87-DD85-696B-4897E8149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19425" y="3000375"/>
          <a:ext cx="1476375" cy="714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4</xdr:row>
      <xdr:rowOff>38100</xdr:rowOff>
    </xdr:from>
    <xdr:to>
      <xdr:col>0</xdr:col>
      <xdr:colOff>1122044</xdr:colOff>
      <xdr:row>20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45687B2E-9883-4C54-903B-14B1EEB4B69C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71550"/>
              <a:ext cx="1122044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1005840</xdr:colOff>
      <xdr:row>1</xdr:row>
      <xdr:rowOff>38099</xdr:rowOff>
    </xdr:from>
    <xdr:to>
      <xdr:col>5</xdr:col>
      <xdr:colOff>9525</xdr:colOff>
      <xdr:row>1</xdr:row>
      <xdr:rowOff>552450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5BFDC07-4D69-4B80-8ED9-DCF5FDD3401A}"/>
            </a:ext>
            <a:ext uri="{147F2762-F138-4A5C-976F-8EAC2B608ADB}">
              <a16:predDERef xmlns:a16="http://schemas.microsoft.com/office/drawing/2014/main" pred="{6AF53347-A9E8-4537-C562-3489FAFCE0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6408" b="68123"/>
        <a:stretch/>
      </xdr:blipFill>
      <xdr:spPr>
        <a:xfrm>
          <a:off x="1005840" y="38099"/>
          <a:ext cx="2013585" cy="510541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2</xdr:row>
      <xdr:rowOff>19050</xdr:rowOff>
    </xdr:from>
    <xdr:to>
      <xdr:col>9</xdr:col>
      <xdr:colOff>523875</xdr:colOff>
      <xdr:row>3</xdr:row>
      <xdr:rowOff>100965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39911F1A-D42C-0EBB-81A2-EF9A5A85396D}"/>
            </a:ext>
          </a:extLst>
        </xdr:cNvPr>
        <xdr:cNvSpPr txBox="1"/>
      </xdr:nvSpPr>
      <xdr:spPr>
        <a:xfrm>
          <a:off x="1162050" y="590550"/>
          <a:ext cx="4895850" cy="262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>
              <a:solidFill>
                <a:schemeClr val="bg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Calculation period: 01/01/2024 - 31/12/2024 | Update date: 12/04/2025 22:00:00</a:t>
          </a:r>
          <a:endParaRPr lang="pt-BR">
            <a:solidFill>
              <a:schemeClr val="bg1">
                <a:lumMod val="75000"/>
              </a:schemeClr>
            </a:solidFill>
            <a:effectLst/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476249</xdr:colOff>
      <xdr:row>4</xdr:row>
      <xdr:rowOff>53340</xdr:rowOff>
    </xdr:from>
    <xdr:to>
      <xdr:col>7</xdr:col>
      <xdr:colOff>472440</xdr:colOff>
      <xdr:row>20</xdr:row>
      <xdr:rowOff>104775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CEEED0BD-40CD-DF55-67C5-FF8257D75D2F}"/>
            </a:ext>
          </a:extLst>
        </xdr:cNvPr>
        <xdr:cNvGrpSpPr/>
      </xdr:nvGrpSpPr>
      <xdr:grpSpPr>
        <a:xfrm>
          <a:off x="1604009" y="990600"/>
          <a:ext cx="3139441" cy="2941320"/>
          <a:chOff x="1600199" y="986790"/>
          <a:chExt cx="3139441" cy="294703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058BBA90-FEC7-5B32-B6B9-4FBE5205D899}"/>
              </a:ext>
            </a:extLst>
          </xdr:cNvPr>
          <xdr:cNvSpPr/>
        </xdr:nvSpPr>
        <xdr:spPr>
          <a:xfrm>
            <a:off x="1600199" y="986790"/>
            <a:ext cx="3124201" cy="281368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 fLocksText="0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4481FD63-1E12-27F9-953F-C85115328A9A}"/>
              </a:ext>
            </a:extLst>
          </xdr:cNvPr>
          <xdr:cNvSpPr/>
        </xdr:nvSpPr>
        <xdr:spPr>
          <a:xfrm>
            <a:off x="1605915" y="992506"/>
            <a:ext cx="3133725" cy="400052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/>
              <a:t>Auto Renewal</a:t>
            </a:r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692FAF89-0819-47FE-B784-4A8F0381A5F1}"/>
              </a:ext>
            </a:extLst>
          </xdr:cNvPr>
          <xdr:cNvGraphicFramePr>
            <a:graphicFrameLocks/>
          </xdr:cNvGraphicFramePr>
        </xdr:nvGraphicFramePr>
        <xdr:xfrm>
          <a:off x="1619250" y="1463040"/>
          <a:ext cx="3105150" cy="24707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8</xdr:col>
      <xdr:colOff>129540</xdr:colOff>
      <xdr:row>4</xdr:row>
      <xdr:rowOff>55245</xdr:rowOff>
    </xdr:from>
    <xdr:to>
      <xdr:col>19</xdr:col>
      <xdr:colOff>95250</xdr:colOff>
      <xdr:row>19</xdr:row>
      <xdr:rowOff>167640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E206361A-06AB-FE3E-C29D-BFA88D9F9F9C}"/>
            </a:ext>
          </a:extLst>
        </xdr:cNvPr>
        <xdr:cNvGrpSpPr/>
      </xdr:nvGrpSpPr>
      <xdr:grpSpPr>
        <a:xfrm>
          <a:off x="5029200" y="992505"/>
          <a:ext cx="6873240" cy="2827020"/>
          <a:chOff x="5025390" y="988695"/>
          <a:chExt cx="6880860" cy="282702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76BD960B-C33D-4310-8D39-E5154DDAF6C2}"/>
              </a:ext>
            </a:extLst>
          </xdr:cNvPr>
          <xdr:cNvSpPr/>
        </xdr:nvSpPr>
        <xdr:spPr>
          <a:xfrm>
            <a:off x="5029201" y="988695"/>
            <a:ext cx="6865710" cy="282702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 fLocksText="0">
        <xdr:nvSpPr>
          <xdr:cNvPr id="4" name="Retângulo: Cantos Superiores Arredondados 3">
            <a:extLst>
              <a:ext uri="{FF2B5EF4-FFF2-40B4-BE49-F238E27FC236}">
                <a16:creationId xmlns:a16="http://schemas.microsoft.com/office/drawing/2014/main" id="{F6A6D5DD-DDA0-4ABA-9277-A2AB2ECA2FB1}"/>
              </a:ext>
            </a:extLst>
          </xdr:cNvPr>
          <xdr:cNvSpPr/>
        </xdr:nvSpPr>
        <xdr:spPr>
          <a:xfrm>
            <a:off x="5025390" y="1005873"/>
            <a:ext cx="6880860" cy="401408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/>
              <a:t>Subscription Type</a:t>
            </a:r>
            <a:r>
              <a:rPr lang="pt-BR" sz="2000" b="1" baseline="0"/>
              <a:t> per mouth</a:t>
            </a:r>
            <a:endParaRPr lang="pt-BR" sz="2000" b="1"/>
          </a:p>
        </xdr:txBody>
      </xdr:sp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73A41038-DA7C-4F4B-A100-D610D8B5B8B4}"/>
              </a:ext>
            </a:extLst>
          </xdr:cNvPr>
          <xdr:cNvGraphicFramePr>
            <a:graphicFrameLocks/>
          </xdr:cNvGraphicFramePr>
        </xdr:nvGraphicFramePr>
        <xdr:xfrm>
          <a:off x="5370195" y="1068705"/>
          <a:ext cx="6345555" cy="27470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1116330</xdr:colOff>
      <xdr:row>37</xdr:row>
      <xdr:rowOff>53340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Subscription Type">
              <a:extLst>
                <a:ext uri="{FF2B5EF4-FFF2-40B4-BE49-F238E27FC236}">
                  <a16:creationId xmlns:a16="http://schemas.microsoft.com/office/drawing/2014/main" id="{3476B7F5-39A5-44DB-B75C-CC3B9F0FFE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371975"/>
              <a:ext cx="1120140" cy="259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0</xdr:colOff>
      <xdr:row>24</xdr:row>
      <xdr:rowOff>0</xdr:rowOff>
    </xdr:from>
    <xdr:to>
      <xdr:col>10</xdr:col>
      <xdr:colOff>275273</xdr:colOff>
      <xdr:row>32</xdr:row>
      <xdr:rowOff>144304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68E5B1C-FE65-4DA6-8E15-FEA2476B0A47}"/>
            </a:ext>
          </a:extLst>
        </xdr:cNvPr>
        <xdr:cNvGrpSpPr/>
      </xdr:nvGrpSpPr>
      <xdr:grpSpPr>
        <a:xfrm>
          <a:off x="1752600" y="4552950"/>
          <a:ext cx="4677728" cy="1590199"/>
          <a:chOff x="2095500" y="1143000"/>
          <a:chExt cx="4655344" cy="1647825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59ED8284-9615-83B9-A2E2-46E108C02169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[1]C̳álculos!O37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DDB8E9A7-25AF-BF27-F873-731899A18627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8A3238FD-C7D7-9D87-526E-68843D7342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773BAB23-5270-5940-ACFC-91BE4A495436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473869</xdr:colOff>
      <xdr:row>23</xdr:row>
      <xdr:rowOff>152400</xdr:rowOff>
    </xdr:from>
    <xdr:to>
      <xdr:col>19</xdr:col>
      <xdr:colOff>123825</xdr:colOff>
      <xdr:row>32</xdr:row>
      <xdr:rowOff>39529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6D22179E-4E0E-4F1A-9B13-D3302AE40372}"/>
            </a:ext>
          </a:extLst>
        </xdr:cNvPr>
        <xdr:cNvGrpSpPr/>
      </xdr:nvGrpSpPr>
      <xdr:grpSpPr>
        <a:xfrm>
          <a:off x="7259479" y="4524375"/>
          <a:ext cx="4677251" cy="1515904"/>
          <a:chOff x="7534275" y="1247775"/>
          <a:chExt cx="4655344" cy="1571625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BC495C04-990D-6FC0-2B97-BA34B8219E52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1B6F2625-23E2-3DD6-E27A-00B4E2711928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[1]C̳álculos!O48">
          <xdr:nvSpPr>
            <xdr:cNvPr id="29" name="Retângulo: Cantos Arredondados 28">
              <a:extLst>
                <a:ext uri="{FF2B5EF4-FFF2-40B4-BE49-F238E27FC236}">
                  <a16:creationId xmlns:a16="http://schemas.microsoft.com/office/drawing/2014/main" id="{38171F9D-80A5-D23B-8830-3BB8BFCBE4FD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30" name="Retângulo: Cantos Superiores Arredondados 29">
              <a:extLst>
                <a:ext uri="{FF2B5EF4-FFF2-40B4-BE49-F238E27FC236}">
                  <a16:creationId xmlns:a16="http://schemas.microsoft.com/office/drawing/2014/main" id="{BC1B977E-CBF6-1B42-6E50-DAF20433219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32821D90-C548-9B79-C244-7E3873B12C8D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D5552F7F-64C0-9585-D3BD-1E216C2264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0B7A0573-BC07-AB83-267B-C619C0C2CD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6</xdr:col>
      <xdr:colOff>85725</xdr:colOff>
      <xdr:row>27</xdr:row>
      <xdr:rowOff>142875</xdr:rowOff>
    </xdr:from>
    <xdr:to>
      <xdr:col>9</xdr:col>
      <xdr:colOff>447675</xdr:colOff>
      <xdr:row>31</xdr:row>
      <xdr:rowOff>9525</xdr:rowOff>
    </xdr:to>
    <xdr:sp macro="" textlink="Cálculos!E42">
      <xdr:nvSpPr>
        <xdr:cNvPr id="32" name="Retângulo: Cantos Arredondados 31">
          <a:extLst>
            <a:ext uri="{FF2B5EF4-FFF2-40B4-BE49-F238E27FC236}">
              <a16:creationId xmlns:a16="http://schemas.microsoft.com/office/drawing/2014/main" id="{1D45E35C-231C-7C45-280F-802859B38248}"/>
            </a:ext>
          </a:extLst>
        </xdr:cNvPr>
        <xdr:cNvSpPr/>
      </xdr:nvSpPr>
      <xdr:spPr>
        <a:xfrm>
          <a:off x="3724275" y="5238750"/>
          <a:ext cx="2247900" cy="5905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B25E94CC-24F4-4293-9755-E28E1BC37ED2}" type="TxLink">
            <a:rPr lang="en-US" sz="3200" b="0" i="0" u="none" strike="noStrike">
              <a:solidFill>
                <a:srgbClr val="22C55E"/>
              </a:solidFill>
              <a:latin typeface="Aptos Narrow" panose="020B0004020202020204" pitchFamily="34" charset="0"/>
              <a:ea typeface="+mn-ea"/>
              <a:cs typeface="+mn-cs"/>
            </a:rPr>
            <a:pPr marL="0" indent="0" algn="ctr"/>
            <a:t>R$ 1.350,00</a:t>
          </a:fld>
          <a:endParaRPr lang="pt-BR" sz="3200" b="0" i="0" u="none" strike="noStrike">
            <a:solidFill>
              <a:srgbClr val="22C55E"/>
            </a:solidFill>
            <a:latin typeface="Aptos Narrow" panose="020B0004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574834</xdr:colOff>
      <xdr:row>27</xdr:row>
      <xdr:rowOff>104775</xdr:rowOff>
    </xdr:from>
    <xdr:to>
      <xdr:col>18</xdr:col>
      <xdr:colOff>304324</xdr:colOff>
      <xdr:row>30</xdr:row>
      <xdr:rowOff>160020</xdr:rowOff>
    </xdr:to>
    <xdr:sp macro="" textlink="Cálculos!E34">
      <xdr:nvSpPr>
        <xdr:cNvPr id="35" name="Retângulo: Cantos Arredondados 34">
          <a:extLst>
            <a:ext uri="{FF2B5EF4-FFF2-40B4-BE49-F238E27FC236}">
              <a16:creationId xmlns:a16="http://schemas.microsoft.com/office/drawing/2014/main" id="{02AC3DEB-7B55-4BA0-A926-C32425348217}"/>
            </a:ext>
          </a:extLst>
        </xdr:cNvPr>
        <xdr:cNvSpPr/>
      </xdr:nvSpPr>
      <xdr:spPr>
        <a:xfrm>
          <a:off x="9242584" y="5200650"/>
          <a:ext cx="2244090" cy="59817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7B14420-7D06-4BFB-84C4-92DECE1BDE62}" type="TxLink">
            <a:rPr lang="en-US" sz="3200" b="0" i="0" u="none" strike="noStrike">
              <a:solidFill>
                <a:srgbClr val="22C55E"/>
              </a:solidFill>
              <a:latin typeface="Aptos Narrow" panose="020B0004020202020204" pitchFamily="34" charset="0"/>
            </a:rPr>
            <a:pPr algn="ctr"/>
            <a:t>R$ 900,00</a:t>
          </a:fld>
          <a:endParaRPr lang="pt-BR" sz="3200">
            <a:solidFill>
              <a:srgbClr val="22C55E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M\Dashboard_xbox_Final.xlsx" TargetMode="External"/><Relationship Id="rId1" Type="http://schemas.openxmlformats.org/officeDocument/2006/relationships/externalLinkPath" Target="Dashboard_xbox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B̳ases"/>
      <sheetName val="C̳álculos"/>
      <sheetName val="D̳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643288541665" createdVersion="8" refreshedVersion="8" minRefreshableVersion="3" recordCount="98" xr:uid="{108A56B0-1A14-4D96-85BB-C6D742EA8829}">
  <cacheSource type="worksheet">
    <worksheetSource ref="B1:M99" sheet="Base"/>
  </cacheSource>
  <cacheFields count="14"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5T00:00:00" count="98">
        <d v="2024-01-01T00:00:00"/>
        <d v="2024-02-20T00:00:00"/>
        <d v="2024-03-03T00:00:00"/>
        <d v="2024-03-05T00:00:00"/>
        <d v="2024-03-08T00:00:00"/>
        <d v="2024-03-11T00:00:00"/>
        <d v="2024-03-14T00:00:00"/>
        <d v="2024-03-17T00:00:00"/>
        <d v="2024-03-20T00:00:00"/>
        <d v="2024-03-23T00:00:00"/>
        <d v="2024-03-26T00:00:00"/>
        <d v="2024-03-29T00:00:00"/>
        <d v="2024-04-02T00:00:00"/>
        <d v="2024-04-05T00:00:00"/>
        <d v="2024-04-08T00:00:00"/>
        <d v="2024-04-11T00:00:00"/>
        <d v="2024-04-14T00:00:00"/>
        <d v="2024-04-17T00:00:00"/>
        <d v="2024-04-20T00:00:00"/>
        <d v="2024-04-23T00:00:00"/>
        <d v="2024-04-26T00:00:00"/>
        <d v="2024-04-29T00:00:00"/>
        <d v="2024-05-02T00:00:00"/>
        <d v="2024-05-05T00:00:00"/>
        <d v="2024-05-08T00:00:00"/>
        <d v="2024-05-11T00:00:00"/>
        <d v="2024-05-14T00:00:00"/>
        <d v="2024-05-17T00:00:00"/>
        <d v="2024-05-20T00:00:00"/>
        <d v="2024-05-23T00:00:00"/>
        <d v="2024-05-26T00:00:00"/>
        <d v="2024-05-29T00:00:00"/>
        <d v="2024-06-01T00:00:00"/>
        <d v="2024-06-04T00:00:00"/>
        <d v="2024-06-07T00:00:00"/>
        <d v="2024-06-11T00:00:00"/>
        <d v="2024-06-14T00:00:00"/>
        <d v="2024-06-17T00:00:00"/>
        <d v="2024-06-20T00:00:00"/>
        <d v="2024-06-23T00:00:00"/>
        <d v="2024-06-26T00:00:00"/>
        <d v="2024-06-29T00:00:00"/>
        <d v="2024-07-02T00:00:00"/>
        <d v="2024-07-05T00:00:00"/>
        <d v="2024-07-08T00:00:00"/>
        <d v="2024-07-11T00:00:00"/>
        <d v="2024-07-14T00:00:00"/>
        <d v="2024-07-17T00:00:00"/>
        <d v="2024-07-20T00:00:00"/>
        <d v="2024-07-23T00:00:00"/>
        <d v="2024-07-26T00:00:00"/>
        <d v="2024-07-29T00:00:00"/>
        <d v="2024-08-01T00:00:00"/>
        <d v="2024-08-04T00:00:00"/>
        <d v="2024-08-07T00:00:00"/>
        <d v="2024-08-10T00:00:00"/>
        <d v="2024-08-13T00:00:00"/>
        <d v="2024-08-16T00:00:00"/>
        <d v="2024-08-20T00:00:00"/>
        <d v="2024-08-23T00:00:00"/>
        <d v="2024-08-26T00:00:00"/>
        <d v="2024-08-29T00:00:00"/>
        <d v="2024-09-01T00:00:00"/>
        <d v="2024-09-04T00:00:00"/>
        <d v="2024-09-07T00:00:00"/>
        <d v="2024-09-10T00:00:00"/>
        <d v="2024-09-13T00:00:00"/>
        <d v="2024-09-16T00:00:00"/>
        <d v="2024-09-19T00:00:00"/>
        <d v="2024-09-22T00:00:00"/>
        <d v="2024-09-25T00:00:00"/>
        <d v="2024-09-28T00:00:00"/>
        <d v="2024-10-01T00:00:00"/>
        <d v="2024-10-04T00:00:00"/>
        <d v="2024-10-07T00:00:00"/>
        <d v="2024-10-10T00:00:00"/>
        <d v="2024-10-13T00:00:00"/>
        <d v="2024-10-16T00:00:00"/>
        <d v="2024-10-19T00:00:00"/>
        <d v="2024-10-22T00:00:00"/>
        <d v="2024-10-25T00:00:00"/>
        <d v="2024-10-28T00:00:00"/>
        <d v="2024-10-31T00:00:00"/>
        <d v="2024-11-03T00:00:00"/>
        <d v="2024-11-06T00:00:00"/>
        <d v="2024-11-08T00:00:00"/>
        <d v="2024-11-11T00:00:00"/>
        <d v="2024-11-14T00:00:00"/>
        <d v="2024-11-17T00:00:00"/>
        <d v="2024-11-20T00:00:00"/>
        <d v="2024-11-23T00:00:00"/>
        <d v="2024-11-26T00:00:00"/>
        <d v="2024-11-29T00:00:00"/>
        <d v="2024-12-02T00:00:00"/>
        <d v="2024-12-05T00:00:00"/>
        <d v="2024-12-08T00:00:00"/>
        <d v="2024-12-11T00:00:00"/>
        <d v="2024-12-14T00:00:00"/>
      </sharedItems>
      <fieldGroup par="13"/>
    </cacheField>
    <cacheField name="Auto Renewal" numFmtId="0">
      <sharedItems count="2">
        <s v="Yes"/>
        <s v="No"/>
      </sharedItems>
    </cacheField>
    <cacheField name="Subscription Price" numFmtId="8">
      <sharedItems containsSemiMixedTypes="0" containsString="0" containsNumber="1" containsInteger="1" minValue="15" maxValue="15"/>
    </cacheField>
    <cacheField name="Subscription Type" numFmtId="0">
      <sharedItems count="3">
        <s v="Monthly"/>
        <s v="Quarterly"/>
        <s v="Annual"/>
      </sharedItems>
    </cacheField>
    <cacheField name="EA Play Season Pass" numFmtId="0">
      <sharedItems/>
    </cacheField>
    <cacheField name="EA Play Season Pass_x000a_Price" numFmtId="8">
      <sharedItems containsSemiMixedTypes="0" containsString="0" containsNumber="1" containsInteger="1" minValue="30" maxValue="30"/>
    </cacheField>
    <cacheField name="Minecraft Season Pass" numFmtId="0">
      <sharedItems/>
    </cacheField>
    <cacheField name="Minecraft Season Pass Price" numFmtId="8">
      <sharedItems containsSemiMixedTypes="0" containsString="0" containsNumber="1" containsInteger="1" minValue="20" maxValue="20"/>
    </cacheField>
    <cacheField name="Coupon Value" numFmtId="8">
      <sharedItems containsSemiMixedTypes="0" containsString="0" containsNumber="1" containsInteger="1" minValue="3" maxValue="20"/>
    </cacheField>
    <cacheField name="Total Value" numFmtId="8">
      <sharedItems containsSemiMixedTypes="0" containsString="0" containsNumber="1" containsInteger="1" minValue="45" maxValue="62"/>
    </cacheField>
    <cacheField name="Dias (Start Date)" numFmtId="0" databaseField="0">
      <fieldGroup base="2">
        <rangePr groupBy="days" startDate="2024-01-01T00:00:00" endDate="2024-12-15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5/12/2024"/>
        </groupItems>
      </fieldGroup>
    </cacheField>
    <cacheField name="Meses (Start Date)" numFmtId="0" databaseField="0">
      <fieldGroup base="2">
        <rangePr groupBy="months" startDate="2024-01-01T00:00:00" endDate="2024-12-15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5/12/2024"/>
        </groupItems>
      </fieldGroup>
    </cacheField>
  </cacheFields>
  <extLst>
    <ext xmlns:x14="http://schemas.microsoft.com/office/spreadsheetml/2009/9/main" uri="{725AE2AE-9491-48be-B2B4-4EB974FC3084}">
      <x14:pivotCacheDefinition pivotCacheId="124432340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643975925923" createdVersion="8" refreshedVersion="8" minRefreshableVersion="3" recordCount="98" xr:uid="{9235DDB8-45B0-47EA-80AE-F25BCE05CA85}">
  <cacheSource type="worksheet">
    <worksheetSource ref="A1:M99" sheet="Base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1">
        <s v="Ultimate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/>
    </cacheField>
    <cacheField name="Subscription Price" numFmtId="8">
      <sharedItems containsSemiMixedTypes="0" containsString="0" containsNumber="1" containsInteger="1" minValue="15" maxValue="15"/>
    </cacheField>
    <cacheField name="Subscription Type" numFmtId="0">
      <sharedItems count="3">
        <s v="Monthly"/>
        <s v="Quarterly"/>
        <s v="Annual"/>
      </sharedItems>
    </cacheField>
    <cacheField name="EA Play Season Pass" numFmtId="0">
      <sharedItems/>
    </cacheField>
    <cacheField name="EA Play Season Pass_x000a_Price" numFmtId="8">
      <sharedItems containsSemiMixedTypes="0" containsString="0" containsNumber="1" containsInteger="1" minValue="30" maxValue="30"/>
    </cacheField>
    <cacheField name="Minecraft Season Pass" numFmtId="0">
      <sharedItems/>
    </cacheField>
    <cacheField name="Minecraft Season Pass Price" numFmtId="8">
      <sharedItems containsSemiMixedTypes="0" containsString="0" containsNumber="1" containsInteger="1" minValue="20" maxValue="20"/>
    </cacheField>
    <cacheField name="Coupon Value" numFmtId="8">
      <sharedItems containsSemiMixedTypes="0" containsString="0" containsNumber="1" containsInteger="1" minValue="3" maxValue="20"/>
    </cacheField>
    <cacheField name="Total Value" numFmtId="8">
      <sharedItems containsSemiMixedTypes="0" containsString="0" containsNumber="1" containsInteger="1" minValue="45" maxValue="62"/>
    </cacheField>
  </cacheFields>
  <extLst>
    <ext xmlns:x14="http://schemas.microsoft.com/office/spreadsheetml/2009/9/main" uri="{725AE2AE-9491-48be-B2B4-4EB974FC3084}">
      <x14:pivotCacheDefinition pivotCacheId="4656921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João Silva"/>
    <s v="Ultimate"/>
    <x v="0"/>
    <x v="0"/>
    <n v="15"/>
    <x v="0"/>
    <s v="Yes"/>
    <n v="30"/>
    <s v="Yes"/>
    <n v="20"/>
    <n v="5"/>
    <n v="60"/>
  </r>
  <r>
    <s v="Ana Souza"/>
    <s v="Ultimate"/>
    <x v="1"/>
    <x v="1"/>
    <n v="15"/>
    <x v="0"/>
    <s v="Yes"/>
    <n v="30"/>
    <s v="Yes"/>
    <n v="20"/>
    <n v="3"/>
    <n v="62"/>
  </r>
  <r>
    <s v="Camila Ribeiro"/>
    <s v="Ultimate"/>
    <x v="2"/>
    <x v="0"/>
    <n v="15"/>
    <x v="1"/>
    <s v="Yes"/>
    <n v="30"/>
    <s v="Yes"/>
    <n v="20"/>
    <n v="10"/>
    <n v="55"/>
  </r>
  <r>
    <s v="Sofia Almeida"/>
    <s v="Ultimate"/>
    <x v="3"/>
    <x v="1"/>
    <n v="15"/>
    <x v="0"/>
    <s v="Yes"/>
    <n v="30"/>
    <s v="Yes"/>
    <n v="20"/>
    <n v="5"/>
    <n v="60"/>
  </r>
  <r>
    <s v="Marco Túlio"/>
    <s v="Ultimate"/>
    <x v="4"/>
    <x v="0"/>
    <n v="15"/>
    <x v="2"/>
    <s v="Yes"/>
    <n v="30"/>
    <s v="Yes"/>
    <n v="20"/>
    <n v="20"/>
    <n v="45"/>
  </r>
  <r>
    <s v="Fernanda Lima"/>
    <s v="Ultimate"/>
    <x v="5"/>
    <x v="1"/>
    <n v="15"/>
    <x v="0"/>
    <s v="Yes"/>
    <n v="30"/>
    <s v="Yes"/>
    <n v="20"/>
    <n v="8"/>
    <n v="57"/>
  </r>
  <r>
    <s v="Cesar Oliveira"/>
    <s v="Ultimate"/>
    <x v="6"/>
    <x v="0"/>
    <n v="15"/>
    <x v="1"/>
    <s v="Yes"/>
    <n v="30"/>
    <s v="Yes"/>
    <n v="20"/>
    <n v="7"/>
    <n v="58"/>
  </r>
  <r>
    <s v="Gabriela Santos"/>
    <s v="Ultimate"/>
    <x v="7"/>
    <x v="1"/>
    <n v="15"/>
    <x v="0"/>
    <s v="Yes"/>
    <n v="30"/>
    <s v="Yes"/>
    <n v="20"/>
    <n v="3"/>
    <n v="62"/>
  </r>
  <r>
    <s v="Joaquim Barbosa"/>
    <s v="Ultimate"/>
    <x v="8"/>
    <x v="0"/>
    <n v="15"/>
    <x v="2"/>
    <s v="Yes"/>
    <n v="30"/>
    <s v="Yes"/>
    <n v="20"/>
    <n v="20"/>
    <n v="45"/>
  </r>
  <r>
    <s v="Nicole Costa"/>
    <s v="Ultimate"/>
    <x v="9"/>
    <x v="1"/>
    <n v="15"/>
    <x v="0"/>
    <s v="Yes"/>
    <n v="30"/>
    <s v="Yes"/>
    <n v="20"/>
    <n v="5"/>
    <n v="60"/>
  </r>
  <r>
    <s v="Raquel Alves"/>
    <s v="Ultimate"/>
    <x v="10"/>
    <x v="0"/>
    <n v="15"/>
    <x v="1"/>
    <s v="Yes"/>
    <n v="30"/>
    <s v="Yes"/>
    <n v="20"/>
    <n v="7"/>
    <n v="58"/>
  </r>
  <r>
    <s v="Vinicius Lima"/>
    <s v="Ultimate"/>
    <x v="11"/>
    <x v="1"/>
    <n v="15"/>
    <x v="0"/>
    <s v="Yes"/>
    <n v="30"/>
    <s v="Yes"/>
    <n v="20"/>
    <n v="3"/>
    <n v="62"/>
  </r>
  <r>
    <s v="Bruno Cavalheiro"/>
    <s v="Ultimate"/>
    <x v="12"/>
    <x v="1"/>
    <n v="15"/>
    <x v="1"/>
    <s v="Yes"/>
    <n v="30"/>
    <s v="Yes"/>
    <n v="20"/>
    <n v="7"/>
    <n v="58"/>
  </r>
  <r>
    <s v="Eunice Lima"/>
    <s v="Ultimate"/>
    <x v="13"/>
    <x v="0"/>
    <n v="15"/>
    <x v="0"/>
    <s v="Yes"/>
    <n v="30"/>
    <s v="Yes"/>
    <n v="20"/>
    <n v="15"/>
    <n v="50"/>
  </r>
  <r>
    <s v="Hélio Castro"/>
    <s v="Ultimate"/>
    <x v="14"/>
    <x v="1"/>
    <n v="15"/>
    <x v="1"/>
    <s v="Yes"/>
    <n v="30"/>
    <s v="Yes"/>
    <n v="20"/>
    <n v="20"/>
    <n v="45"/>
  </r>
  <r>
    <s v="Kléber Oliveira"/>
    <s v="Ultimate"/>
    <x v="15"/>
    <x v="0"/>
    <n v="15"/>
    <x v="2"/>
    <s v="Yes"/>
    <n v="30"/>
    <s v="Yes"/>
    <n v="20"/>
    <n v="5"/>
    <n v="60"/>
  </r>
  <r>
    <s v="Nilo Peçanha"/>
    <s v="Ultimate"/>
    <x v="16"/>
    <x v="1"/>
    <n v="15"/>
    <x v="0"/>
    <s v="Yes"/>
    <n v="30"/>
    <s v="Yes"/>
    <n v="20"/>
    <n v="3"/>
    <n v="62"/>
  </r>
  <r>
    <s v="Quirino Gonçalves"/>
    <s v="Ultimate"/>
    <x v="17"/>
    <x v="0"/>
    <n v="15"/>
    <x v="1"/>
    <s v="Yes"/>
    <n v="30"/>
    <s v="Yes"/>
    <n v="20"/>
    <n v="7"/>
    <n v="58"/>
  </r>
  <r>
    <s v="Tiago Ramos"/>
    <s v="Ultimate"/>
    <x v="18"/>
    <x v="1"/>
    <n v="15"/>
    <x v="0"/>
    <s v="Yes"/>
    <n v="30"/>
    <s v="Yes"/>
    <n v="20"/>
    <n v="20"/>
    <n v="45"/>
  </r>
  <r>
    <s v="William Siqueira"/>
    <s v="Ultimate"/>
    <x v="19"/>
    <x v="0"/>
    <n v="15"/>
    <x v="2"/>
    <s v="Yes"/>
    <n v="30"/>
    <s v="Yes"/>
    <n v="20"/>
    <n v="3"/>
    <n v="62"/>
  </r>
  <r>
    <s v="Zacarias Alves"/>
    <s v="Ultimate"/>
    <x v="20"/>
    <x v="1"/>
    <n v="15"/>
    <x v="0"/>
    <s v="Yes"/>
    <n v="30"/>
    <s v="Yes"/>
    <n v="20"/>
    <n v="5"/>
    <n v="60"/>
  </r>
  <r>
    <s v="Carla Bruni"/>
    <s v="Ultimate"/>
    <x v="21"/>
    <x v="0"/>
    <n v="15"/>
    <x v="1"/>
    <s v="Yes"/>
    <n v="30"/>
    <s v="Yes"/>
    <n v="20"/>
    <n v="20"/>
    <n v="45"/>
  </r>
  <r>
    <s v="Fábio Nobre"/>
    <s v="Ultimate"/>
    <x v="22"/>
    <x v="0"/>
    <n v="15"/>
    <x v="1"/>
    <s v="Yes"/>
    <n v="30"/>
    <s v="Yes"/>
    <n v="20"/>
    <n v="7"/>
    <n v="58"/>
  </r>
  <r>
    <s v="Ivan Carvalho"/>
    <s v="Ultimate"/>
    <x v="23"/>
    <x v="1"/>
    <n v="15"/>
    <x v="0"/>
    <s v="Yes"/>
    <n v="30"/>
    <s v="Yes"/>
    <n v="20"/>
    <n v="15"/>
    <n v="50"/>
  </r>
  <r>
    <s v="Lucas Mendes"/>
    <s v="Ultimate"/>
    <x v="24"/>
    <x v="0"/>
    <n v="15"/>
    <x v="1"/>
    <s v="Yes"/>
    <n v="30"/>
    <s v="Yes"/>
    <n v="20"/>
    <n v="20"/>
    <n v="45"/>
  </r>
  <r>
    <s v="Otávio Barros"/>
    <s v="Ultimate"/>
    <x v="25"/>
    <x v="1"/>
    <n v="15"/>
    <x v="2"/>
    <s v="Yes"/>
    <n v="30"/>
    <s v="Yes"/>
    <n v="20"/>
    <n v="5"/>
    <n v="60"/>
  </r>
  <r>
    <s v="Raquel Novaes"/>
    <s v="Ultimate"/>
    <x v="26"/>
    <x v="0"/>
    <n v="15"/>
    <x v="0"/>
    <s v="Yes"/>
    <n v="30"/>
    <s v="Yes"/>
    <n v="20"/>
    <n v="3"/>
    <n v="62"/>
  </r>
  <r>
    <s v="Ulysses Guimarães"/>
    <s v="Ultimate"/>
    <x v="27"/>
    <x v="1"/>
    <n v="15"/>
    <x v="1"/>
    <s v="Yes"/>
    <n v="30"/>
    <s v="Yes"/>
    <n v="20"/>
    <n v="7"/>
    <n v="58"/>
  </r>
  <r>
    <s v="Ximena Rocha"/>
    <s v="Ultimate"/>
    <x v="28"/>
    <x v="0"/>
    <n v="15"/>
    <x v="0"/>
    <s v="Yes"/>
    <n v="30"/>
    <s v="Yes"/>
    <n v="20"/>
    <n v="20"/>
    <n v="45"/>
  </r>
  <r>
    <s v="Alan Teixeira"/>
    <s v="Ultimate"/>
    <x v="29"/>
    <x v="1"/>
    <n v="15"/>
    <x v="2"/>
    <s v="Yes"/>
    <n v="30"/>
    <s v="Yes"/>
    <n v="20"/>
    <n v="3"/>
    <n v="62"/>
  </r>
  <r>
    <s v="Daniela Moura"/>
    <s v="Ultimate"/>
    <x v="30"/>
    <x v="0"/>
    <n v="15"/>
    <x v="0"/>
    <s v="Yes"/>
    <n v="30"/>
    <s v="Yes"/>
    <n v="20"/>
    <n v="5"/>
    <n v="60"/>
  </r>
  <r>
    <s v="Geraldo Ribeiro"/>
    <s v="Ultimate"/>
    <x v="31"/>
    <x v="1"/>
    <n v="15"/>
    <x v="1"/>
    <s v="Yes"/>
    <n v="30"/>
    <s v="Yes"/>
    <n v="20"/>
    <n v="20"/>
    <n v="45"/>
  </r>
  <r>
    <s v="João Pedro Almeida"/>
    <s v="Ultimate"/>
    <x v="32"/>
    <x v="0"/>
    <n v="15"/>
    <x v="0"/>
    <s v="Yes"/>
    <n v="30"/>
    <s v="Yes"/>
    <n v="20"/>
    <n v="7"/>
    <n v="58"/>
  </r>
  <r>
    <s v="Marcelo Gouveia"/>
    <s v="Ultimate"/>
    <x v="33"/>
    <x v="1"/>
    <n v="15"/>
    <x v="0"/>
    <s v="Yes"/>
    <n v="30"/>
    <s v="Yes"/>
    <n v="20"/>
    <n v="15"/>
    <n v="50"/>
  </r>
  <r>
    <s v="Patrícia Alves"/>
    <s v="Ultimate"/>
    <x v="34"/>
    <x v="0"/>
    <n v="15"/>
    <x v="1"/>
    <s v="Yes"/>
    <n v="30"/>
    <s v="Yes"/>
    <n v="20"/>
    <n v="20"/>
    <n v="45"/>
  </r>
  <r>
    <s v="Ulisses Tavares"/>
    <s v="Ultimate"/>
    <x v="35"/>
    <x v="1"/>
    <n v="15"/>
    <x v="1"/>
    <s v="Yes"/>
    <n v="30"/>
    <s v="Yes"/>
    <n v="20"/>
    <n v="7"/>
    <n v="58"/>
  </r>
  <r>
    <s v="Xavier Nascimento"/>
    <s v="Ultimate"/>
    <x v="36"/>
    <x v="0"/>
    <n v="15"/>
    <x v="0"/>
    <s v="Yes"/>
    <n v="30"/>
    <s v="Yes"/>
    <n v="20"/>
    <n v="15"/>
    <n v="50"/>
  </r>
  <r>
    <s v="Amanda Lopes"/>
    <s v="Ultimate"/>
    <x v="37"/>
    <x v="1"/>
    <n v="15"/>
    <x v="1"/>
    <s v="Yes"/>
    <n v="30"/>
    <s v="Yes"/>
    <n v="20"/>
    <n v="20"/>
    <n v="45"/>
  </r>
  <r>
    <s v="Diogo Souza"/>
    <s v="Ultimate"/>
    <x v="38"/>
    <x v="0"/>
    <n v="15"/>
    <x v="2"/>
    <s v="Yes"/>
    <n v="30"/>
    <s v="Yes"/>
    <n v="20"/>
    <n v="5"/>
    <n v="60"/>
  </r>
  <r>
    <s v="Geraldo Ribeiro"/>
    <s v="Ultimate"/>
    <x v="39"/>
    <x v="1"/>
    <n v="15"/>
    <x v="0"/>
    <s v="Yes"/>
    <n v="30"/>
    <s v="Yes"/>
    <n v="20"/>
    <n v="3"/>
    <n v="62"/>
  </r>
  <r>
    <s v="João Marcelo"/>
    <s v="Ultimate"/>
    <x v="40"/>
    <x v="0"/>
    <n v="15"/>
    <x v="1"/>
    <s v="Yes"/>
    <n v="30"/>
    <s v="Yes"/>
    <n v="20"/>
    <n v="7"/>
    <n v="58"/>
  </r>
  <r>
    <s v="Nadia Costa"/>
    <s v="Ultimate"/>
    <x v="41"/>
    <x v="1"/>
    <n v="15"/>
    <x v="0"/>
    <s v="Yes"/>
    <n v="30"/>
    <s v="Yes"/>
    <n v="20"/>
    <n v="20"/>
    <n v="45"/>
  </r>
  <r>
    <s v="Quênia Barros"/>
    <s v="Ultimate"/>
    <x v="42"/>
    <x v="0"/>
    <n v="15"/>
    <x v="2"/>
    <s v="Yes"/>
    <n v="30"/>
    <s v="Yes"/>
    <n v="20"/>
    <n v="3"/>
    <n v="62"/>
  </r>
  <r>
    <s v="Tiago Mendes"/>
    <s v="Ultimate"/>
    <x v="43"/>
    <x v="1"/>
    <n v="15"/>
    <x v="0"/>
    <s v="Yes"/>
    <n v="30"/>
    <s v="Yes"/>
    <n v="20"/>
    <n v="15"/>
    <n v="50"/>
  </r>
  <r>
    <s v="Waldir Junior"/>
    <s v="Ultimate"/>
    <x v="44"/>
    <x v="0"/>
    <n v="15"/>
    <x v="1"/>
    <s v="Yes"/>
    <n v="30"/>
    <s v="Yes"/>
    <n v="20"/>
    <n v="7"/>
    <n v="58"/>
  </r>
  <r>
    <s v="Zacarias Nunes"/>
    <s v="Ultimate"/>
    <x v="45"/>
    <x v="1"/>
    <n v="15"/>
    <x v="1"/>
    <s v="Yes"/>
    <n v="30"/>
    <s v="Yes"/>
    <n v="20"/>
    <n v="7"/>
    <n v="58"/>
  </r>
  <r>
    <s v="Carlos Eduardo"/>
    <s v="Ultimate"/>
    <x v="46"/>
    <x v="0"/>
    <n v="15"/>
    <x v="0"/>
    <s v="Yes"/>
    <n v="30"/>
    <s v="Yes"/>
    <n v="20"/>
    <n v="15"/>
    <n v="50"/>
  </r>
  <r>
    <s v="Fabiano Gomes"/>
    <s v="Ultimate"/>
    <x v="47"/>
    <x v="1"/>
    <n v="15"/>
    <x v="1"/>
    <s v="Yes"/>
    <n v="30"/>
    <s v="Yes"/>
    <n v="20"/>
    <n v="20"/>
    <n v="45"/>
  </r>
  <r>
    <s v="Igor Martins"/>
    <s v="Ultimate"/>
    <x v="48"/>
    <x v="0"/>
    <n v="15"/>
    <x v="2"/>
    <s v="Yes"/>
    <n v="30"/>
    <s v="Yes"/>
    <n v="20"/>
    <n v="5"/>
    <n v="60"/>
  </r>
  <r>
    <s v="Luciana Santos"/>
    <s v="Ultimate"/>
    <x v="49"/>
    <x v="1"/>
    <n v="15"/>
    <x v="0"/>
    <s v="Yes"/>
    <n v="30"/>
    <s v="Yes"/>
    <n v="20"/>
    <n v="3"/>
    <n v="62"/>
  </r>
  <r>
    <s v="Oscar Ribeiro"/>
    <s v="Ultimate"/>
    <x v="50"/>
    <x v="0"/>
    <n v="15"/>
    <x v="1"/>
    <s v="Yes"/>
    <n v="30"/>
    <s v="Yes"/>
    <n v="20"/>
    <n v="7"/>
    <n v="58"/>
  </r>
  <r>
    <s v="Renata Machado"/>
    <s v="Ultimate"/>
    <x v="51"/>
    <x v="1"/>
    <n v="15"/>
    <x v="0"/>
    <s v="Yes"/>
    <n v="30"/>
    <s v="Yes"/>
    <n v="20"/>
    <n v="20"/>
    <n v="45"/>
  </r>
  <r>
    <s v="Ulysses Pereira"/>
    <s v="Ultimate"/>
    <x v="52"/>
    <x v="0"/>
    <n v="15"/>
    <x v="2"/>
    <s v="Yes"/>
    <n v="30"/>
    <s v="Yes"/>
    <n v="20"/>
    <n v="3"/>
    <n v="62"/>
  </r>
  <r>
    <s v="Xuxa Meneghel"/>
    <s v="Ultimate"/>
    <x v="53"/>
    <x v="1"/>
    <n v="15"/>
    <x v="0"/>
    <s v="Yes"/>
    <n v="30"/>
    <s v="Yes"/>
    <n v="20"/>
    <n v="15"/>
    <n v="50"/>
  </r>
  <r>
    <s v="André Lima"/>
    <s v="Ultimate"/>
    <x v="54"/>
    <x v="0"/>
    <n v="15"/>
    <x v="1"/>
    <s v="Yes"/>
    <n v="30"/>
    <s v="Yes"/>
    <n v="20"/>
    <n v="7"/>
    <n v="58"/>
  </r>
  <r>
    <s v="Daniela Moura"/>
    <s v="Ultimate"/>
    <x v="55"/>
    <x v="1"/>
    <n v="15"/>
    <x v="0"/>
    <s v="Yes"/>
    <n v="30"/>
    <s v="Yes"/>
    <n v="20"/>
    <n v="20"/>
    <n v="45"/>
  </r>
  <r>
    <s v="Guilherme Souza"/>
    <s v="Ultimate"/>
    <x v="56"/>
    <x v="0"/>
    <n v="15"/>
    <x v="2"/>
    <s v="Yes"/>
    <n v="30"/>
    <s v="Yes"/>
    <n v="20"/>
    <n v="5"/>
    <n v="60"/>
  </r>
  <r>
    <s v="João Carvalho"/>
    <s v="Ultimate"/>
    <x v="57"/>
    <x v="1"/>
    <n v="15"/>
    <x v="0"/>
    <s v="Yes"/>
    <n v="30"/>
    <s v="Yes"/>
    <n v="20"/>
    <n v="3"/>
    <n v="62"/>
  </r>
  <r>
    <s v="Nina Pacheco"/>
    <s v="Ultimate"/>
    <x v="58"/>
    <x v="1"/>
    <n v="15"/>
    <x v="1"/>
    <s v="Yes"/>
    <n v="30"/>
    <s v="Yes"/>
    <n v="20"/>
    <n v="7"/>
    <n v="58"/>
  </r>
  <r>
    <s v="Raquel Domingos"/>
    <s v="Ultimate"/>
    <x v="59"/>
    <x v="0"/>
    <n v="15"/>
    <x v="0"/>
    <s v="Yes"/>
    <n v="30"/>
    <s v="Yes"/>
    <n v="20"/>
    <n v="15"/>
    <n v="50"/>
  </r>
  <r>
    <s v="Ulysses Farias"/>
    <s v="Ultimate"/>
    <x v="60"/>
    <x v="1"/>
    <n v="15"/>
    <x v="1"/>
    <s v="Yes"/>
    <n v="30"/>
    <s v="Yes"/>
    <n v="20"/>
    <n v="20"/>
    <n v="45"/>
  </r>
  <r>
    <s v="Ximena Barros"/>
    <s v="Ultimate"/>
    <x v="61"/>
    <x v="0"/>
    <n v="15"/>
    <x v="2"/>
    <s v="Yes"/>
    <n v="30"/>
    <s v="Yes"/>
    <n v="20"/>
    <n v="5"/>
    <n v="60"/>
  </r>
  <r>
    <s v="André Lopes"/>
    <s v="Ultimate"/>
    <x v="62"/>
    <x v="1"/>
    <n v="15"/>
    <x v="0"/>
    <s v="Yes"/>
    <n v="30"/>
    <s v="Yes"/>
    <n v="20"/>
    <n v="3"/>
    <n v="62"/>
  </r>
  <r>
    <s v="Daniela Araújo"/>
    <s v="Ultimate"/>
    <x v="63"/>
    <x v="0"/>
    <n v="15"/>
    <x v="1"/>
    <s v="Yes"/>
    <n v="30"/>
    <s v="Yes"/>
    <n v="20"/>
    <n v="7"/>
    <n v="58"/>
  </r>
  <r>
    <s v="Gabriel Teixeira"/>
    <s v="Ultimate"/>
    <x v="64"/>
    <x v="1"/>
    <n v="15"/>
    <x v="0"/>
    <s v="Yes"/>
    <n v="30"/>
    <s v="Yes"/>
    <n v="20"/>
    <n v="20"/>
    <n v="45"/>
  </r>
  <r>
    <s v="Joana Silveira"/>
    <s v="Ultimate"/>
    <x v="65"/>
    <x v="0"/>
    <n v="15"/>
    <x v="2"/>
    <s v="Yes"/>
    <n v="30"/>
    <s v="Yes"/>
    <n v="20"/>
    <n v="3"/>
    <n v="62"/>
  </r>
  <r>
    <s v="Nicolas Borges"/>
    <s v="Ultimate"/>
    <x v="66"/>
    <x v="1"/>
    <n v="15"/>
    <x v="0"/>
    <s v="Yes"/>
    <n v="30"/>
    <s v="Yes"/>
    <n v="20"/>
    <n v="15"/>
    <n v="50"/>
  </r>
  <r>
    <s v="Raquel Andrade"/>
    <s v="Ultimate"/>
    <x v="67"/>
    <x v="0"/>
    <n v="15"/>
    <x v="1"/>
    <s v="Yes"/>
    <n v="30"/>
    <s v="Yes"/>
    <n v="20"/>
    <n v="7"/>
    <n v="58"/>
  </r>
  <r>
    <s v="Ursula Monteiro"/>
    <s v="Ultimate"/>
    <x v="68"/>
    <x v="1"/>
    <n v="15"/>
    <x v="1"/>
    <s v="Yes"/>
    <n v="30"/>
    <s v="Yes"/>
    <n v="20"/>
    <n v="7"/>
    <n v="58"/>
  </r>
  <r>
    <s v="Xavier Almeida"/>
    <s v="Ultimate"/>
    <x v="69"/>
    <x v="0"/>
    <n v="15"/>
    <x v="0"/>
    <s v="Yes"/>
    <n v="30"/>
    <s v="Yes"/>
    <n v="20"/>
    <n v="15"/>
    <n v="50"/>
  </r>
  <r>
    <s v="Amanda Costa"/>
    <s v="Ultimate"/>
    <x v="70"/>
    <x v="1"/>
    <n v="15"/>
    <x v="1"/>
    <s v="Yes"/>
    <n v="30"/>
    <s v="Yes"/>
    <n v="20"/>
    <n v="20"/>
    <n v="45"/>
  </r>
  <r>
    <s v="Diogo Martins"/>
    <s v="Ultimate"/>
    <x v="71"/>
    <x v="0"/>
    <n v="15"/>
    <x v="2"/>
    <s v="Yes"/>
    <n v="30"/>
    <s v="Yes"/>
    <n v="20"/>
    <n v="5"/>
    <n v="60"/>
  </r>
  <r>
    <s v="Gabriel Santos"/>
    <s v="Ultimate"/>
    <x v="72"/>
    <x v="1"/>
    <n v="15"/>
    <x v="0"/>
    <s v="Yes"/>
    <n v="30"/>
    <s v="Yes"/>
    <n v="20"/>
    <n v="3"/>
    <n v="62"/>
  </r>
  <r>
    <s v="Joana Silveira"/>
    <s v="Ultimate"/>
    <x v="73"/>
    <x v="0"/>
    <n v="15"/>
    <x v="1"/>
    <s v="Yes"/>
    <n v="30"/>
    <s v="Yes"/>
    <n v="20"/>
    <n v="7"/>
    <n v="58"/>
  </r>
  <r>
    <s v="Marcos Vinícius"/>
    <s v="Ultimate"/>
    <x v="74"/>
    <x v="1"/>
    <n v="15"/>
    <x v="0"/>
    <s v="Yes"/>
    <n v="30"/>
    <s v="Yes"/>
    <n v="20"/>
    <n v="20"/>
    <n v="45"/>
  </r>
  <r>
    <s v="Patrícia Leite"/>
    <s v="Ultimate"/>
    <x v="75"/>
    <x v="0"/>
    <n v="15"/>
    <x v="2"/>
    <s v="Yes"/>
    <n v="30"/>
    <s v="Yes"/>
    <n v="20"/>
    <n v="3"/>
    <n v="62"/>
  </r>
  <r>
    <s v="Sandra Gouveia"/>
    <s v="Ultimate"/>
    <x v="76"/>
    <x v="1"/>
    <n v="15"/>
    <x v="0"/>
    <s v="Yes"/>
    <n v="30"/>
    <s v="Yes"/>
    <n v="20"/>
    <n v="15"/>
    <n v="50"/>
  </r>
  <r>
    <s v="Vanessa Andrade"/>
    <s v="Ultimate"/>
    <x v="77"/>
    <x v="0"/>
    <n v="15"/>
    <x v="1"/>
    <s v="Yes"/>
    <n v="30"/>
    <s v="Yes"/>
    <n v="20"/>
    <n v="7"/>
    <n v="58"/>
  </r>
  <r>
    <s v="Yasmin Figueira"/>
    <s v="Ultimate"/>
    <x v="78"/>
    <x v="1"/>
    <n v="15"/>
    <x v="0"/>
    <s v="Yes"/>
    <n v="30"/>
    <s v="Yes"/>
    <n v="20"/>
    <n v="15"/>
    <n v="50"/>
  </r>
  <r>
    <s v="Bruno Santos"/>
    <s v="Ultimate"/>
    <x v="79"/>
    <x v="0"/>
    <n v="15"/>
    <x v="2"/>
    <s v="Yes"/>
    <n v="30"/>
    <s v="Yes"/>
    <n v="20"/>
    <n v="5"/>
    <n v="60"/>
  </r>
  <r>
    <s v="Elisa Neves"/>
    <s v="Ultimate"/>
    <x v="80"/>
    <x v="1"/>
    <n v="15"/>
    <x v="0"/>
    <s v="Yes"/>
    <n v="30"/>
    <s v="Yes"/>
    <n v="20"/>
    <n v="3"/>
    <n v="62"/>
  </r>
  <r>
    <s v="Hélio Costa"/>
    <s v="Ultimate"/>
    <x v="81"/>
    <x v="0"/>
    <n v="15"/>
    <x v="1"/>
    <s v="Yes"/>
    <n v="30"/>
    <s v="Yes"/>
    <n v="20"/>
    <n v="7"/>
    <n v="58"/>
  </r>
  <r>
    <s v="Klara Silva"/>
    <s v="Ultimate"/>
    <x v="82"/>
    <x v="1"/>
    <n v="15"/>
    <x v="0"/>
    <s v="Yes"/>
    <n v="30"/>
    <s v="Yes"/>
    <n v="20"/>
    <n v="20"/>
    <n v="45"/>
  </r>
  <r>
    <s v="Natália Soares"/>
    <s v="Ultimate"/>
    <x v="83"/>
    <x v="0"/>
    <n v="15"/>
    <x v="2"/>
    <s v="Yes"/>
    <n v="30"/>
    <s v="Yes"/>
    <n v="20"/>
    <n v="3"/>
    <n v="62"/>
  </r>
  <r>
    <s v="Quirino Neto"/>
    <s v="Ultimate"/>
    <x v="84"/>
    <x v="1"/>
    <n v="15"/>
    <x v="0"/>
    <s v="Yes"/>
    <n v="30"/>
    <s v="Yes"/>
    <n v="20"/>
    <n v="15"/>
    <n v="50"/>
  </r>
  <r>
    <s v="Sandro Almeida"/>
    <s v="Ultimate"/>
    <x v="85"/>
    <x v="1"/>
    <n v="15"/>
    <x v="1"/>
    <s v="Yes"/>
    <n v="30"/>
    <s v="Yes"/>
    <n v="20"/>
    <n v="7"/>
    <n v="58"/>
  </r>
  <r>
    <s v="Valéria Lima"/>
    <s v="Ultimate"/>
    <x v="86"/>
    <x v="0"/>
    <n v="15"/>
    <x v="0"/>
    <s v="Yes"/>
    <n v="30"/>
    <s v="Yes"/>
    <n v="20"/>
    <n v="15"/>
    <n v="50"/>
  </r>
  <r>
    <s v="Ygor Farias"/>
    <s v="Ultimate"/>
    <x v="87"/>
    <x v="1"/>
    <n v="15"/>
    <x v="1"/>
    <s v="Yes"/>
    <n v="30"/>
    <s v="Yes"/>
    <n v="20"/>
    <n v="20"/>
    <n v="45"/>
  </r>
  <r>
    <s v="Bruno Costa"/>
    <s v="Ultimate"/>
    <x v="88"/>
    <x v="0"/>
    <n v="15"/>
    <x v="2"/>
    <s v="Yes"/>
    <n v="30"/>
    <s v="Yes"/>
    <n v="20"/>
    <n v="5"/>
    <n v="60"/>
  </r>
  <r>
    <s v="Elisa Correia"/>
    <s v="Ultimate"/>
    <x v="89"/>
    <x v="1"/>
    <n v="15"/>
    <x v="0"/>
    <s v="Yes"/>
    <n v="30"/>
    <s v="Yes"/>
    <n v="20"/>
    <n v="3"/>
    <n v="62"/>
  </r>
  <r>
    <s v="Henrique Gonçalves"/>
    <s v="Ultimate"/>
    <x v="90"/>
    <x v="0"/>
    <n v="15"/>
    <x v="1"/>
    <s v="Yes"/>
    <n v="30"/>
    <s v="Yes"/>
    <n v="20"/>
    <n v="7"/>
    <n v="58"/>
  </r>
  <r>
    <s v="Klara Fonseca"/>
    <s v="Ultimate"/>
    <x v="91"/>
    <x v="1"/>
    <n v="15"/>
    <x v="0"/>
    <s v="Yes"/>
    <n v="30"/>
    <s v="Yes"/>
    <n v="20"/>
    <n v="20"/>
    <n v="45"/>
  </r>
  <r>
    <s v="Natália Castro"/>
    <s v="Ultimate"/>
    <x v="92"/>
    <x v="0"/>
    <n v="15"/>
    <x v="2"/>
    <s v="Yes"/>
    <n v="30"/>
    <s v="Yes"/>
    <n v="20"/>
    <n v="3"/>
    <n v="62"/>
  </r>
  <r>
    <s v="Quentin Nogueira"/>
    <s v="Ultimate"/>
    <x v="93"/>
    <x v="1"/>
    <n v="15"/>
    <x v="0"/>
    <s v="Yes"/>
    <n v="30"/>
    <s v="Yes"/>
    <n v="20"/>
    <n v="15"/>
    <n v="50"/>
  </r>
  <r>
    <s v="Tânia Machado"/>
    <s v="Ultimate"/>
    <x v="94"/>
    <x v="0"/>
    <n v="15"/>
    <x v="1"/>
    <s v="Yes"/>
    <n v="30"/>
    <s v="Yes"/>
    <n v="20"/>
    <n v="7"/>
    <n v="58"/>
  </r>
  <r>
    <s v="William Carvalho"/>
    <s v="Ultimate"/>
    <x v="95"/>
    <x v="1"/>
    <n v="15"/>
    <x v="0"/>
    <s v="Yes"/>
    <n v="30"/>
    <s v="Yes"/>
    <n v="20"/>
    <n v="20"/>
    <n v="45"/>
  </r>
  <r>
    <s v="Zacarias Duarte"/>
    <s v="Ultimate"/>
    <x v="96"/>
    <x v="0"/>
    <n v="15"/>
    <x v="2"/>
    <s v="Yes"/>
    <n v="30"/>
    <s v="Yes"/>
    <n v="20"/>
    <n v="5"/>
    <n v="60"/>
  </r>
  <r>
    <s v="Carla Siqueira"/>
    <s v="Ultimate"/>
    <x v="97"/>
    <x v="1"/>
    <n v="15"/>
    <x v="0"/>
    <s v="Yes"/>
    <n v="30"/>
    <s v="Yes"/>
    <n v="20"/>
    <n v="3"/>
    <n v="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3231"/>
    <s v="João Silva"/>
    <x v="0"/>
    <d v="2024-01-01T00:00:00"/>
    <s v="Yes"/>
    <n v="15"/>
    <x v="0"/>
    <s v="Yes"/>
    <n v="30"/>
    <s v="Yes"/>
    <n v="20"/>
    <n v="5"/>
    <n v="60"/>
  </r>
  <r>
    <n v="3234"/>
    <s v="Ana Souza"/>
    <x v="0"/>
    <d v="2024-02-20T00:00:00"/>
    <s v="No"/>
    <n v="15"/>
    <x v="0"/>
    <s v="Yes"/>
    <n v="30"/>
    <s v="Yes"/>
    <n v="20"/>
    <n v="3"/>
    <n v="62"/>
  </r>
  <r>
    <n v="3237"/>
    <s v="Camila Ribeiro"/>
    <x v="0"/>
    <d v="2024-03-03T00:00:00"/>
    <s v="Yes"/>
    <n v="15"/>
    <x v="1"/>
    <s v="Yes"/>
    <n v="30"/>
    <s v="Yes"/>
    <n v="20"/>
    <n v="10"/>
    <n v="55"/>
  </r>
  <r>
    <n v="3239"/>
    <s v="Sofia Almeida"/>
    <x v="0"/>
    <d v="2024-03-05T00:00:00"/>
    <s v="No"/>
    <n v="15"/>
    <x v="0"/>
    <s v="Yes"/>
    <n v="30"/>
    <s v="Yes"/>
    <n v="20"/>
    <n v="5"/>
    <n v="60"/>
  </r>
  <r>
    <n v="3242"/>
    <s v="Marco Túlio"/>
    <x v="0"/>
    <d v="2024-03-08T00:00:00"/>
    <s v="Yes"/>
    <n v="15"/>
    <x v="2"/>
    <s v="Yes"/>
    <n v="30"/>
    <s v="Yes"/>
    <n v="20"/>
    <n v="20"/>
    <n v="45"/>
  </r>
  <r>
    <n v="3245"/>
    <s v="Fernanda Lima"/>
    <x v="0"/>
    <d v="2024-03-11T00:00:00"/>
    <s v="No"/>
    <n v="15"/>
    <x v="0"/>
    <s v="Yes"/>
    <n v="30"/>
    <s v="Yes"/>
    <n v="20"/>
    <n v="8"/>
    <n v="57"/>
  </r>
  <r>
    <n v="3248"/>
    <s v="Cesar Oliveira"/>
    <x v="0"/>
    <d v="2024-03-14T00:00:00"/>
    <s v="Yes"/>
    <n v="15"/>
    <x v="1"/>
    <s v="Yes"/>
    <n v="30"/>
    <s v="Yes"/>
    <n v="20"/>
    <n v="7"/>
    <n v="58"/>
  </r>
  <r>
    <n v="3251"/>
    <s v="Gabriela Santos"/>
    <x v="0"/>
    <d v="2024-03-17T00:00:00"/>
    <s v="No"/>
    <n v="15"/>
    <x v="0"/>
    <s v="Yes"/>
    <n v="30"/>
    <s v="Yes"/>
    <n v="20"/>
    <n v="3"/>
    <n v="62"/>
  </r>
  <r>
    <n v="3254"/>
    <s v="Joaquim Barbosa"/>
    <x v="0"/>
    <d v="2024-03-20T00:00:00"/>
    <s v="Yes"/>
    <n v="15"/>
    <x v="2"/>
    <s v="Yes"/>
    <n v="30"/>
    <s v="Yes"/>
    <n v="20"/>
    <n v="20"/>
    <n v="45"/>
  </r>
  <r>
    <n v="3257"/>
    <s v="Nicole Costa"/>
    <x v="0"/>
    <d v="2024-03-23T00:00:00"/>
    <s v="No"/>
    <n v="15"/>
    <x v="0"/>
    <s v="Yes"/>
    <n v="30"/>
    <s v="Yes"/>
    <n v="20"/>
    <n v="5"/>
    <n v="60"/>
  </r>
  <r>
    <n v="3260"/>
    <s v="Raquel Alves"/>
    <x v="0"/>
    <d v="2024-03-26T00:00:00"/>
    <s v="Yes"/>
    <n v="15"/>
    <x v="1"/>
    <s v="Yes"/>
    <n v="30"/>
    <s v="Yes"/>
    <n v="20"/>
    <n v="7"/>
    <n v="58"/>
  </r>
  <r>
    <n v="3263"/>
    <s v="Vinicius Lima"/>
    <x v="0"/>
    <d v="2024-03-29T00:00:00"/>
    <s v="No"/>
    <n v="15"/>
    <x v="0"/>
    <s v="Yes"/>
    <n v="30"/>
    <s v="Yes"/>
    <n v="20"/>
    <n v="3"/>
    <n v="62"/>
  </r>
  <r>
    <n v="3267"/>
    <s v="Bruno Cavalheiro"/>
    <x v="0"/>
    <d v="2024-04-02T00:00:00"/>
    <s v="No"/>
    <n v="15"/>
    <x v="1"/>
    <s v="Yes"/>
    <n v="30"/>
    <s v="Yes"/>
    <n v="20"/>
    <n v="7"/>
    <n v="58"/>
  </r>
  <r>
    <n v="3270"/>
    <s v="Eunice Lima"/>
    <x v="0"/>
    <d v="2024-04-05T00:00:00"/>
    <s v="Yes"/>
    <n v="15"/>
    <x v="0"/>
    <s v="Yes"/>
    <n v="30"/>
    <s v="Yes"/>
    <n v="20"/>
    <n v="15"/>
    <n v="50"/>
  </r>
  <r>
    <n v="3273"/>
    <s v="Hélio Castro"/>
    <x v="0"/>
    <d v="2024-04-08T00:00:00"/>
    <s v="No"/>
    <n v="15"/>
    <x v="1"/>
    <s v="Yes"/>
    <n v="30"/>
    <s v="Yes"/>
    <n v="20"/>
    <n v="20"/>
    <n v="45"/>
  </r>
  <r>
    <n v="3276"/>
    <s v="Kléber Oliveira"/>
    <x v="0"/>
    <d v="2024-04-11T00:00:00"/>
    <s v="Yes"/>
    <n v="15"/>
    <x v="2"/>
    <s v="Yes"/>
    <n v="30"/>
    <s v="Yes"/>
    <n v="20"/>
    <n v="5"/>
    <n v="60"/>
  </r>
  <r>
    <n v="3279"/>
    <s v="Nilo Peçanha"/>
    <x v="0"/>
    <d v="2024-04-14T00:00:00"/>
    <s v="No"/>
    <n v="15"/>
    <x v="0"/>
    <s v="Yes"/>
    <n v="30"/>
    <s v="Yes"/>
    <n v="20"/>
    <n v="3"/>
    <n v="62"/>
  </r>
  <r>
    <n v="3282"/>
    <s v="Quirino Gonçalves"/>
    <x v="0"/>
    <d v="2024-04-17T00:00:00"/>
    <s v="Yes"/>
    <n v="15"/>
    <x v="1"/>
    <s v="Yes"/>
    <n v="30"/>
    <s v="Yes"/>
    <n v="20"/>
    <n v="7"/>
    <n v="58"/>
  </r>
  <r>
    <n v="3285"/>
    <s v="Tiago Ramos"/>
    <x v="0"/>
    <d v="2024-04-20T00:00:00"/>
    <s v="No"/>
    <n v="15"/>
    <x v="0"/>
    <s v="Yes"/>
    <n v="30"/>
    <s v="Yes"/>
    <n v="20"/>
    <n v="20"/>
    <n v="45"/>
  </r>
  <r>
    <n v="3288"/>
    <s v="William Siqueira"/>
    <x v="0"/>
    <d v="2024-04-23T00:00:00"/>
    <s v="Yes"/>
    <n v="15"/>
    <x v="2"/>
    <s v="Yes"/>
    <n v="30"/>
    <s v="Yes"/>
    <n v="20"/>
    <n v="3"/>
    <n v="62"/>
  </r>
  <r>
    <n v="3291"/>
    <s v="Zacarias Alves"/>
    <x v="0"/>
    <d v="2024-04-26T00:00:00"/>
    <s v="No"/>
    <n v="15"/>
    <x v="0"/>
    <s v="Yes"/>
    <n v="30"/>
    <s v="Yes"/>
    <n v="20"/>
    <n v="5"/>
    <n v="60"/>
  </r>
  <r>
    <n v="3294"/>
    <s v="Carla Bruni"/>
    <x v="0"/>
    <d v="2024-04-29T00:00:00"/>
    <s v="Yes"/>
    <n v="15"/>
    <x v="1"/>
    <s v="Yes"/>
    <n v="30"/>
    <s v="Yes"/>
    <n v="20"/>
    <n v="20"/>
    <n v="45"/>
  </r>
  <r>
    <n v="3297"/>
    <s v="Fábio Nobre"/>
    <x v="0"/>
    <d v="2024-05-02T00:00:00"/>
    <s v="Yes"/>
    <n v="15"/>
    <x v="1"/>
    <s v="Yes"/>
    <n v="30"/>
    <s v="Yes"/>
    <n v="20"/>
    <n v="7"/>
    <n v="58"/>
  </r>
  <r>
    <n v="3300"/>
    <s v="Ivan Carvalho"/>
    <x v="0"/>
    <d v="2024-05-05T00:00:00"/>
    <s v="No"/>
    <n v="15"/>
    <x v="0"/>
    <s v="Yes"/>
    <n v="30"/>
    <s v="Yes"/>
    <n v="20"/>
    <n v="15"/>
    <n v="50"/>
  </r>
  <r>
    <n v="3303"/>
    <s v="Lucas Mendes"/>
    <x v="0"/>
    <d v="2024-05-08T00:00:00"/>
    <s v="Yes"/>
    <n v="15"/>
    <x v="1"/>
    <s v="Yes"/>
    <n v="30"/>
    <s v="Yes"/>
    <n v="20"/>
    <n v="20"/>
    <n v="45"/>
  </r>
  <r>
    <n v="3306"/>
    <s v="Otávio Barros"/>
    <x v="0"/>
    <d v="2024-05-11T00:00:00"/>
    <s v="No"/>
    <n v="15"/>
    <x v="2"/>
    <s v="Yes"/>
    <n v="30"/>
    <s v="Yes"/>
    <n v="20"/>
    <n v="5"/>
    <n v="60"/>
  </r>
  <r>
    <n v="3309"/>
    <s v="Raquel Novaes"/>
    <x v="0"/>
    <d v="2024-05-14T00:00:00"/>
    <s v="Yes"/>
    <n v="15"/>
    <x v="0"/>
    <s v="Yes"/>
    <n v="30"/>
    <s v="Yes"/>
    <n v="20"/>
    <n v="3"/>
    <n v="62"/>
  </r>
  <r>
    <n v="3312"/>
    <s v="Ulysses Guimarães"/>
    <x v="0"/>
    <d v="2024-05-17T00:00:00"/>
    <s v="No"/>
    <n v="15"/>
    <x v="1"/>
    <s v="Yes"/>
    <n v="30"/>
    <s v="Yes"/>
    <n v="20"/>
    <n v="7"/>
    <n v="58"/>
  </r>
  <r>
    <n v="3315"/>
    <s v="Ximena Rocha"/>
    <x v="0"/>
    <d v="2024-05-20T00:00:00"/>
    <s v="Yes"/>
    <n v="15"/>
    <x v="0"/>
    <s v="Yes"/>
    <n v="30"/>
    <s v="Yes"/>
    <n v="20"/>
    <n v="20"/>
    <n v="45"/>
  </r>
  <r>
    <n v="3318"/>
    <s v="Alan Teixeira"/>
    <x v="0"/>
    <d v="2024-05-23T00:00:00"/>
    <s v="No"/>
    <n v="15"/>
    <x v="2"/>
    <s v="Yes"/>
    <n v="30"/>
    <s v="Yes"/>
    <n v="20"/>
    <n v="3"/>
    <n v="62"/>
  </r>
  <r>
    <n v="3321"/>
    <s v="Daniela Moura"/>
    <x v="0"/>
    <d v="2024-05-26T00:00:00"/>
    <s v="Yes"/>
    <n v="15"/>
    <x v="0"/>
    <s v="Yes"/>
    <n v="30"/>
    <s v="Yes"/>
    <n v="20"/>
    <n v="5"/>
    <n v="60"/>
  </r>
  <r>
    <n v="3324"/>
    <s v="Geraldo Ribeiro"/>
    <x v="0"/>
    <d v="2024-05-29T00:00:00"/>
    <s v="No"/>
    <n v="15"/>
    <x v="1"/>
    <s v="Yes"/>
    <n v="30"/>
    <s v="Yes"/>
    <n v="20"/>
    <n v="20"/>
    <n v="45"/>
  </r>
  <r>
    <n v="3327"/>
    <s v="João Pedro Almeida"/>
    <x v="0"/>
    <d v="2024-06-01T00:00:00"/>
    <s v="Yes"/>
    <n v="15"/>
    <x v="0"/>
    <s v="Yes"/>
    <n v="30"/>
    <s v="Yes"/>
    <n v="20"/>
    <n v="7"/>
    <n v="58"/>
  </r>
  <r>
    <n v="3330"/>
    <s v="Marcelo Gouveia"/>
    <x v="0"/>
    <d v="2024-06-04T00:00:00"/>
    <s v="No"/>
    <n v="15"/>
    <x v="0"/>
    <s v="Yes"/>
    <n v="30"/>
    <s v="Yes"/>
    <n v="20"/>
    <n v="15"/>
    <n v="50"/>
  </r>
  <r>
    <n v="3333"/>
    <s v="Patrícia Alves"/>
    <x v="0"/>
    <d v="2024-06-07T00:00:00"/>
    <s v="Yes"/>
    <n v="15"/>
    <x v="1"/>
    <s v="Yes"/>
    <n v="30"/>
    <s v="Yes"/>
    <n v="20"/>
    <n v="20"/>
    <n v="45"/>
  </r>
  <r>
    <n v="3337"/>
    <s v="Ulisses Tavares"/>
    <x v="0"/>
    <d v="2024-06-11T00:00:00"/>
    <s v="No"/>
    <n v="15"/>
    <x v="1"/>
    <s v="Yes"/>
    <n v="30"/>
    <s v="Yes"/>
    <n v="20"/>
    <n v="7"/>
    <n v="58"/>
  </r>
  <r>
    <n v="3340"/>
    <s v="Xavier Nascimento"/>
    <x v="0"/>
    <d v="2024-06-14T00:00:00"/>
    <s v="Yes"/>
    <n v="15"/>
    <x v="0"/>
    <s v="Yes"/>
    <n v="30"/>
    <s v="Yes"/>
    <n v="20"/>
    <n v="15"/>
    <n v="50"/>
  </r>
  <r>
    <n v="3343"/>
    <s v="Amanda Lopes"/>
    <x v="0"/>
    <d v="2024-06-17T00:00:00"/>
    <s v="No"/>
    <n v="15"/>
    <x v="1"/>
    <s v="Yes"/>
    <n v="30"/>
    <s v="Yes"/>
    <n v="20"/>
    <n v="20"/>
    <n v="45"/>
  </r>
  <r>
    <n v="3346"/>
    <s v="Diogo Souza"/>
    <x v="0"/>
    <d v="2024-06-20T00:00:00"/>
    <s v="Yes"/>
    <n v="15"/>
    <x v="2"/>
    <s v="Yes"/>
    <n v="30"/>
    <s v="Yes"/>
    <n v="20"/>
    <n v="5"/>
    <n v="60"/>
  </r>
  <r>
    <n v="3349"/>
    <s v="Geraldo Ribeiro"/>
    <x v="0"/>
    <d v="2024-06-23T00:00:00"/>
    <s v="No"/>
    <n v="15"/>
    <x v="0"/>
    <s v="Yes"/>
    <n v="30"/>
    <s v="Yes"/>
    <n v="20"/>
    <n v="3"/>
    <n v="62"/>
  </r>
  <r>
    <n v="3352"/>
    <s v="João Marcelo"/>
    <x v="0"/>
    <d v="2024-06-26T00:00:00"/>
    <s v="Yes"/>
    <n v="15"/>
    <x v="1"/>
    <s v="Yes"/>
    <n v="30"/>
    <s v="Yes"/>
    <n v="20"/>
    <n v="7"/>
    <n v="58"/>
  </r>
  <r>
    <n v="3355"/>
    <s v="Nadia Costa"/>
    <x v="0"/>
    <d v="2024-06-29T00:00:00"/>
    <s v="No"/>
    <n v="15"/>
    <x v="0"/>
    <s v="Yes"/>
    <n v="30"/>
    <s v="Yes"/>
    <n v="20"/>
    <n v="20"/>
    <n v="45"/>
  </r>
  <r>
    <n v="3358"/>
    <s v="Quênia Barros"/>
    <x v="0"/>
    <d v="2024-07-02T00:00:00"/>
    <s v="Yes"/>
    <n v="15"/>
    <x v="2"/>
    <s v="Yes"/>
    <n v="30"/>
    <s v="Yes"/>
    <n v="20"/>
    <n v="3"/>
    <n v="62"/>
  </r>
  <r>
    <n v="3361"/>
    <s v="Tiago Mendes"/>
    <x v="0"/>
    <d v="2024-07-05T00:00:00"/>
    <s v="No"/>
    <n v="15"/>
    <x v="0"/>
    <s v="Yes"/>
    <n v="30"/>
    <s v="Yes"/>
    <n v="20"/>
    <n v="15"/>
    <n v="50"/>
  </r>
  <r>
    <n v="3364"/>
    <s v="Waldir Junior"/>
    <x v="0"/>
    <d v="2024-07-08T00:00:00"/>
    <s v="Yes"/>
    <n v="15"/>
    <x v="1"/>
    <s v="Yes"/>
    <n v="30"/>
    <s v="Yes"/>
    <n v="20"/>
    <n v="7"/>
    <n v="58"/>
  </r>
  <r>
    <n v="3367"/>
    <s v="Zacarias Nunes"/>
    <x v="0"/>
    <d v="2024-07-11T00:00:00"/>
    <s v="No"/>
    <n v="15"/>
    <x v="1"/>
    <s v="Yes"/>
    <n v="30"/>
    <s v="Yes"/>
    <n v="20"/>
    <n v="7"/>
    <n v="58"/>
  </r>
  <r>
    <n v="3370"/>
    <s v="Carlos Eduardo"/>
    <x v="0"/>
    <d v="2024-07-14T00:00:00"/>
    <s v="Yes"/>
    <n v="15"/>
    <x v="0"/>
    <s v="Yes"/>
    <n v="30"/>
    <s v="Yes"/>
    <n v="20"/>
    <n v="15"/>
    <n v="50"/>
  </r>
  <r>
    <n v="3373"/>
    <s v="Fabiano Gomes"/>
    <x v="0"/>
    <d v="2024-07-17T00:00:00"/>
    <s v="No"/>
    <n v="15"/>
    <x v="1"/>
    <s v="Yes"/>
    <n v="30"/>
    <s v="Yes"/>
    <n v="20"/>
    <n v="20"/>
    <n v="45"/>
  </r>
  <r>
    <n v="3376"/>
    <s v="Igor Martins"/>
    <x v="0"/>
    <d v="2024-07-20T00:00:00"/>
    <s v="Yes"/>
    <n v="15"/>
    <x v="2"/>
    <s v="Yes"/>
    <n v="30"/>
    <s v="Yes"/>
    <n v="20"/>
    <n v="5"/>
    <n v="60"/>
  </r>
  <r>
    <n v="3379"/>
    <s v="Luciana Santos"/>
    <x v="0"/>
    <d v="2024-07-23T00:00:00"/>
    <s v="No"/>
    <n v="15"/>
    <x v="0"/>
    <s v="Yes"/>
    <n v="30"/>
    <s v="Yes"/>
    <n v="20"/>
    <n v="3"/>
    <n v="62"/>
  </r>
  <r>
    <n v="3382"/>
    <s v="Oscar Ribeiro"/>
    <x v="0"/>
    <d v="2024-07-26T00:00:00"/>
    <s v="Yes"/>
    <n v="15"/>
    <x v="1"/>
    <s v="Yes"/>
    <n v="30"/>
    <s v="Yes"/>
    <n v="20"/>
    <n v="7"/>
    <n v="58"/>
  </r>
  <r>
    <n v="3385"/>
    <s v="Renata Machado"/>
    <x v="0"/>
    <d v="2024-07-29T00:00:00"/>
    <s v="No"/>
    <n v="15"/>
    <x v="0"/>
    <s v="Yes"/>
    <n v="30"/>
    <s v="Yes"/>
    <n v="20"/>
    <n v="20"/>
    <n v="45"/>
  </r>
  <r>
    <n v="3388"/>
    <s v="Ulysses Pereira"/>
    <x v="0"/>
    <d v="2024-08-01T00:00:00"/>
    <s v="Yes"/>
    <n v="15"/>
    <x v="2"/>
    <s v="Yes"/>
    <n v="30"/>
    <s v="Yes"/>
    <n v="20"/>
    <n v="3"/>
    <n v="62"/>
  </r>
  <r>
    <n v="3391"/>
    <s v="Xuxa Meneghel"/>
    <x v="0"/>
    <d v="2024-08-04T00:00:00"/>
    <s v="No"/>
    <n v="15"/>
    <x v="0"/>
    <s v="Yes"/>
    <n v="30"/>
    <s v="Yes"/>
    <n v="20"/>
    <n v="15"/>
    <n v="50"/>
  </r>
  <r>
    <n v="3394"/>
    <s v="André Lima"/>
    <x v="0"/>
    <d v="2024-08-07T00:00:00"/>
    <s v="Yes"/>
    <n v="15"/>
    <x v="1"/>
    <s v="Yes"/>
    <n v="30"/>
    <s v="Yes"/>
    <n v="20"/>
    <n v="7"/>
    <n v="58"/>
  </r>
  <r>
    <n v="3397"/>
    <s v="Daniela Moura"/>
    <x v="0"/>
    <d v="2024-08-10T00:00:00"/>
    <s v="No"/>
    <n v="15"/>
    <x v="0"/>
    <s v="Yes"/>
    <n v="30"/>
    <s v="Yes"/>
    <n v="20"/>
    <n v="20"/>
    <n v="45"/>
  </r>
  <r>
    <n v="3400"/>
    <s v="Guilherme Souza"/>
    <x v="0"/>
    <d v="2024-08-13T00:00:00"/>
    <s v="Yes"/>
    <n v="15"/>
    <x v="2"/>
    <s v="Yes"/>
    <n v="30"/>
    <s v="Yes"/>
    <n v="20"/>
    <n v="5"/>
    <n v="60"/>
  </r>
  <r>
    <n v="3403"/>
    <s v="João Carvalho"/>
    <x v="0"/>
    <d v="2024-08-16T00:00:00"/>
    <s v="No"/>
    <n v="15"/>
    <x v="0"/>
    <s v="Yes"/>
    <n v="30"/>
    <s v="Yes"/>
    <n v="20"/>
    <n v="3"/>
    <n v="62"/>
  </r>
  <r>
    <n v="3407"/>
    <s v="Nina Pacheco"/>
    <x v="0"/>
    <d v="2024-08-20T00:00:00"/>
    <s v="No"/>
    <n v="15"/>
    <x v="1"/>
    <s v="Yes"/>
    <n v="30"/>
    <s v="Yes"/>
    <n v="20"/>
    <n v="7"/>
    <n v="58"/>
  </r>
  <r>
    <n v="3410"/>
    <s v="Raquel Domingos"/>
    <x v="0"/>
    <d v="2024-08-23T00:00:00"/>
    <s v="Yes"/>
    <n v="15"/>
    <x v="0"/>
    <s v="Yes"/>
    <n v="30"/>
    <s v="Yes"/>
    <n v="20"/>
    <n v="15"/>
    <n v="50"/>
  </r>
  <r>
    <n v="3413"/>
    <s v="Ulysses Farias"/>
    <x v="0"/>
    <d v="2024-08-26T00:00:00"/>
    <s v="No"/>
    <n v="15"/>
    <x v="1"/>
    <s v="Yes"/>
    <n v="30"/>
    <s v="Yes"/>
    <n v="20"/>
    <n v="20"/>
    <n v="45"/>
  </r>
  <r>
    <n v="3416"/>
    <s v="Ximena Barros"/>
    <x v="0"/>
    <d v="2024-08-29T00:00:00"/>
    <s v="Yes"/>
    <n v="15"/>
    <x v="2"/>
    <s v="Yes"/>
    <n v="30"/>
    <s v="Yes"/>
    <n v="20"/>
    <n v="5"/>
    <n v="60"/>
  </r>
  <r>
    <n v="3419"/>
    <s v="André Lopes"/>
    <x v="0"/>
    <d v="2024-09-01T00:00:00"/>
    <s v="No"/>
    <n v="15"/>
    <x v="0"/>
    <s v="Yes"/>
    <n v="30"/>
    <s v="Yes"/>
    <n v="20"/>
    <n v="3"/>
    <n v="62"/>
  </r>
  <r>
    <n v="3422"/>
    <s v="Daniela Araújo"/>
    <x v="0"/>
    <d v="2024-09-04T00:00:00"/>
    <s v="Yes"/>
    <n v="15"/>
    <x v="1"/>
    <s v="Yes"/>
    <n v="30"/>
    <s v="Yes"/>
    <n v="20"/>
    <n v="7"/>
    <n v="58"/>
  </r>
  <r>
    <n v="3425"/>
    <s v="Gabriel Teixeira"/>
    <x v="0"/>
    <d v="2024-09-07T00:00:00"/>
    <s v="No"/>
    <n v="15"/>
    <x v="0"/>
    <s v="Yes"/>
    <n v="30"/>
    <s v="Yes"/>
    <n v="20"/>
    <n v="20"/>
    <n v="45"/>
  </r>
  <r>
    <n v="3428"/>
    <s v="Joana Silveira"/>
    <x v="0"/>
    <d v="2024-09-10T00:00:00"/>
    <s v="Yes"/>
    <n v="15"/>
    <x v="2"/>
    <s v="Yes"/>
    <n v="30"/>
    <s v="Yes"/>
    <n v="20"/>
    <n v="3"/>
    <n v="62"/>
  </r>
  <r>
    <n v="3431"/>
    <s v="Nicolas Borges"/>
    <x v="0"/>
    <d v="2024-09-13T00:00:00"/>
    <s v="No"/>
    <n v="15"/>
    <x v="0"/>
    <s v="Yes"/>
    <n v="30"/>
    <s v="Yes"/>
    <n v="20"/>
    <n v="15"/>
    <n v="50"/>
  </r>
  <r>
    <n v="3434"/>
    <s v="Raquel Andrade"/>
    <x v="0"/>
    <d v="2024-09-16T00:00:00"/>
    <s v="Yes"/>
    <n v="15"/>
    <x v="1"/>
    <s v="Yes"/>
    <n v="30"/>
    <s v="Yes"/>
    <n v="20"/>
    <n v="7"/>
    <n v="58"/>
  </r>
  <r>
    <n v="3437"/>
    <s v="Ursula Monteiro"/>
    <x v="0"/>
    <d v="2024-09-19T00:00:00"/>
    <s v="No"/>
    <n v="15"/>
    <x v="1"/>
    <s v="Yes"/>
    <n v="30"/>
    <s v="Yes"/>
    <n v="20"/>
    <n v="7"/>
    <n v="58"/>
  </r>
  <r>
    <n v="3440"/>
    <s v="Xavier Almeida"/>
    <x v="0"/>
    <d v="2024-09-22T00:00:00"/>
    <s v="Yes"/>
    <n v="15"/>
    <x v="0"/>
    <s v="Yes"/>
    <n v="30"/>
    <s v="Yes"/>
    <n v="20"/>
    <n v="15"/>
    <n v="50"/>
  </r>
  <r>
    <n v="3443"/>
    <s v="Amanda Costa"/>
    <x v="0"/>
    <d v="2024-09-25T00:00:00"/>
    <s v="No"/>
    <n v="15"/>
    <x v="1"/>
    <s v="Yes"/>
    <n v="30"/>
    <s v="Yes"/>
    <n v="20"/>
    <n v="20"/>
    <n v="45"/>
  </r>
  <r>
    <n v="3446"/>
    <s v="Diogo Martins"/>
    <x v="0"/>
    <d v="2024-09-28T00:00:00"/>
    <s v="Yes"/>
    <n v="15"/>
    <x v="2"/>
    <s v="Yes"/>
    <n v="30"/>
    <s v="Yes"/>
    <n v="20"/>
    <n v="5"/>
    <n v="60"/>
  </r>
  <r>
    <n v="3449"/>
    <s v="Gabriel Santos"/>
    <x v="0"/>
    <d v="2024-10-01T00:00:00"/>
    <s v="No"/>
    <n v="15"/>
    <x v="0"/>
    <s v="Yes"/>
    <n v="30"/>
    <s v="Yes"/>
    <n v="20"/>
    <n v="3"/>
    <n v="62"/>
  </r>
  <r>
    <n v="3452"/>
    <s v="Joana Silveira"/>
    <x v="0"/>
    <d v="2024-10-04T00:00:00"/>
    <s v="Yes"/>
    <n v="15"/>
    <x v="1"/>
    <s v="Yes"/>
    <n v="30"/>
    <s v="Yes"/>
    <n v="20"/>
    <n v="7"/>
    <n v="58"/>
  </r>
  <r>
    <n v="3455"/>
    <s v="Marcos Vinícius"/>
    <x v="0"/>
    <d v="2024-10-07T00:00:00"/>
    <s v="No"/>
    <n v="15"/>
    <x v="0"/>
    <s v="Yes"/>
    <n v="30"/>
    <s v="Yes"/>
    <n v="20"/>
    <n v="20"/>
    <n v="45"/>
  </r>
  <r>
    <n v="3458"/>
    <s v="Patrícia Leite"/>
    <x v="0"/>
    <d v="2024-10-10T00:00:00"/>
    <s v="Yes"/>
    <n v="15"/>
    <x v="2"/>
    <s v="Yes"/>
    <n v="30"/>
    <s v="Yes"/>
    <n v="20"/>
    <n v="3"/>
    <n v="62"/>
  </r>
  <r>
    <n v="3461"/>
    <s v="Sandra Gouveia"/>
    <x v="0"/>
    <d v="2024-10-13T00:00:00"/>
    <s v="No"/>
    <n v="15"/>
    <x v="0"/>
    <s v="Yes"/>
    <n v="30"/>
    <s v="Yes"/>
    <n v="20"/>
    <n v="15"/>
    <n v="50"/>
  </r>
  <r>
    <n v="3464"/>
    <s v="Vanessa Andrade"/>
    <x v="0"/>
    <d v="2024-10-16T00:00:00"/>
    <s v="Yes"/>
    <n v="15"/>
    <x v="1"/>
    <s v="Yes"/>
    <n v="30"/>
    <s v="Yes"/>
    <n v="20"/>
    <n v="7"/>
    <n v="58"/>
  </r>
  <r>
    <n v="3467"/>
    <s v="Yasmin Figueira"/>
    <x v="0"/>
    <d v="2024-10-19T00:00:00"/>
    <s v="No"/>
    <n v="15"/>
    <x v="0"/>
    <s v="Yes"/>
    <n v="30"/>
    <s v="Yes"/>
    <n v="20"/>
    <n v="15"/>
    <n v="50"/>
  </r>
  <r>
    <n v="3470"/>
    <s v="Bruno Santos"/>
    <x v="0"/>
    <d v="2024-10-22T00:00:00"/>
    <s v="Yes"/>
    <n v="15"/>
    <x v="2"/>
    <s v="Yes"/>
    <n v="30"/>
    <s v="Yes"/>
    <n v="20"/>
    <n v="5"/>
    <n v="60"/>
  </r>
  <r>
    <n v="3473"/>
    <s v="Elisa Neves"/>
    <x v="0"/>
    <d v="2024-10-25T00:00:00"/>
    <s v="No"/>
    <n v="15"/>
    <x v="0"/>
    <s v="Yes"/>
    <n v="30"/>
    <s v="Yes"/>
    <n v="20"/>
    <n v="3"/>
    <n v="62"/>
  </r>
  <r>
    <n v="3476"/>
    <s v="Hélio Costa"/>
    <x v="0"/>
    <d v="2024-10-28T00:00:00"/>
    <s v="Yes"/>
    <n v="15"/>
    <x v="1"/>
    <s v="Yes"/>
    <n v="30"/>
    <s v="Yes"/>
    <n v="20"/>
    <n v="7"/>
    <n v="58"/>
  </r>
  <r>
    <n v="3479"/>
    <s v="Klara Silva"/>
    <x v="0"/>
    <d v="2024-10-31T00:00:00"/>
    <s v="No"/>
    <n v="15"/>
    <x v="0"/>
    <s v="Yes"/>
    <n v="30"/>
    <s v="Yes"/>
    <n v="20"/>
    <n v="20"/>
    <n v="45"/>
  </r>
  <r>
    <n v="3482"/>
    <s v="Natália Soares"/>
    <x v="0"/>
    <d v="2024-11-03T00:00:00"/>
    <s v="Yes"/>
    <n v="15"/>
    <x v="2"/>
    <s v="Yes"/>
    <n v="30"/>
    <s v="Yes"/>
    <n v="20"/>
    <n v="3"/>
    <n v="62"/>
  </r>
  <r>
    <n v="3485"/>
    <s v="Quirino Neto"/>
    <x v="0"/>
    <d v="2024-11-06T00:00:00"/>
    <s v="No"/>
    <n v="15"/>
    <x v="0"/>
    <s v="Yes"/>
    <n v="30"/>
    <s v="Yes"/>
    <n v="20"/>
    <n v="15"/>
    <n v="50"/>
  </r>
  <r>
    <n v="3487"/>
    <s v="Sandro Almeida"/>
    <x v="0"/>
    <d v="2024-11-08T00:00:00"/>
    <s v="No"/>
    <n v="15"/>
    <x v="1"/>
    <s v="Yes"/>
    <n v="30"/>
    <s v="Yes"/>
    <n v="20"/>
    <n v="7"/>
    <n v="58"/>
  </r>
  <r>
    <n v="3490"/>
    <s v="Valéria Lima"/>
    <x v="0"/>
    <d v="2024-11-11T00:00:00"/>
    <s v="Yes"/>
    <n v="15"/>
    <x v="0"/>
    <s v="Yes"/>
    <n v="30"/>
    <s v="Yes"/>
    <n v="20"/>
    <n v="15"/>
    <n v="50"/>
  </r>
  <r>
    <n v="3493"/>
    <s v="Ygor Farias"/>
    <x v="0"/>
    <d v="2024-11-14T00:00:00"/>
    <s v="No"/>
    <n v="15"/>
    <x v="1"/>
    <s v="Yes"/>
    <n v="30"/>
    <s v="Yes"/>
    <n v="20"/>
    <n v="20"/>
    <n v="45"/>
  </r>
  <r>
    <n v="3496"/>
    <s v="Bruno Costa"/>
    <x v="0"/>
    <d v="2024-11-17T00:00:00"/>
    <s v="Yes"/>
    <n v="15"/>
    <x v="2"/>
    <s v="Yes"/>
    <n v="30"/>
    <s v="Yes"/>
    <n v="20"/>
    <n v="5"/>
    <n v="60"/>
  </r>
  <r>
    <n v="3499"/>
    <s v="Elisa Correia"/>
    <x v="0"/>
    <d v="2024-11-20T00:00:00"/>
    <s v="No"/>
    <n v="15"/>
    <x v="0"/>
    <s v="Yes"/>
    <n v="30"/>
    <s v="Yes"/>
    <n v="20"/>
    <n v="3"/>
    <n v="62"/>
  </r>
  <r>
    <n v="3502"/>
    <s v="Henrique Gonçalves"/>
    <x v="0"/>
    <d v="2024-11-23T00:00:00"/>
    <s v="Yes"/>
    <n v="15"/>
    <x v="1"/>
    <s v="Yes"/>
    <n v="30"/>
    <s v="Yes"/>
    <n v="20"/>
    <n v="7"/>
    <n v="58"/>
  </r>
  <r>
    <n v="3505"/>
    <s v="Klara Fonseca"/>
    <x v="0"/>
    <d v="2024-11-26T00:00:00"/>
    <s v="No"/>
    <n v="15"/>
    <x v="0"/>
    <s v="Yes"/>
    <n v="30"/>
    <s v="Yes"/>
    <n v="20"/>
    <n v="20"/>
    <n v="45"/>
  </r>
  <r>
    <n v="3508"/>
    <s v="Natália Castro"/>
    <x v="0"/>
    <d v="2024-11-29T00:00:00"/>
    <s v="Yes"/>
    <n v="15"/>
    <x v="2"/>
    <s v="Yes"/>
    <n v="30"/>
    <s v="Yes"/>
    <n v="20"/>
    <n v="3"/>
    <n v="62"/>
  </r>
  <r>
    <n v="3511"/>
    <s v="Quentin Nogueira"/>
    <x v="0"/>
    <d v="2024-12-02T00:00:00"/>
    <s v="No"/>
    <n v="15"/>
    <x v="0"/>
    <s v="Yes"/>
    <n v="30"/>
    <s v="Yes"/>
    <n v="20"/>
    <n v="15"/>
    <n v="50"/>
  </r>
  <r>
    <n v="3514"/>
    <s v="Tânia Machado"/>
    <x v="0"/>
    <d v="2024-12-05T00:00:00"/>
    <s v="Yes"/>
    <n v="15"/>
    <x v="1"/>
    <s v="Yes"/>
    <n v="30"/>
    <s v="Yes"/>
    <n v="20"/>
    <n v="7"/>
    <n v="58"/>
  </r>
  <r>
    <n v="3517"/>
    <s v="William Carvalho"/>
    <x v="0"/>
    <d v="2024-12-08T00:00:00"/>
    <s v="No"/>
    <n v="15"/>
    <x v="0"/>
    <s v="Yes"/>
    <n v="30"/>
    <s v="Yes"/>
    <n v="20"/>
    <n v="20"/>
    <n v="45"/>
  </r>
  <r>
    <n v="3520"/>
    <s v="Zacarias Duarte"/>
    <x v="0"/>
    <d v="2024-12-11T00:00:00"/>
    <s v="Yes"/>
    <n v="15"/>
    <x v="2"/>
    <s v="Yes"/>
    <n v="30"/>
    <s v="Yes"/>
    <n v="20"/>
    <n v="5"/>
    <n v="60"/>
  </r>
  <r>
    <n v="3523"/>
    <s v="Carla Siqueira"/>
    <x v="0"/>
    <d v="2024-12-14T00:00:00"/>
    <s v="No"/>
    <n v="15"/>
    <x v="0"/>
    <s v="Yes"/>
    <n v="3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FA760-B390-4DE9-A0BA-9912BA0E5909}" name="Tabela dinâmica8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40:B42" firstHeaderRow="1" firstDataRow="1" firstDataCol="1" rowPageCount="1" colPageCount="1"/>
  <pivotFields count="13">
    <pivotField showAll="0"/>
    <pivotField showAll="0"/>
    <pivotField axis="axisRow" showAll="0">
      <items count="2">
        <item x="0"/>
        <item t="default"/>
      </items>
    </pivotField>
    <pivotField numFmtId="14" showAll="0"/>
    <pivotField showAll="0"/>
    <pivotField numFmtId="8" showAll="0"/>
    <pivotField axis="axisPage" showAll="0">
      <items count="4">
        <item x="2"/>
        <item x="0"/>
        <item x="1"/>
        <item t="default"/>
      </items>
    </pivotField>
    <pivotField showAll="0"/>
    <pivotField dataField="1" numFmtId="8" showAll="0"/>
    <pivotField showAll="0"/>
    <pivotField numFmtId="8" showAll="0"/>
    <pivotField numFmtId="8" showAll="0"/>
    <pivotField numFmtId="8" showAll="0"/>
  </pivotFields>
  <rowFields count="1">
    <field x="2"/>
  </rowFields>
  <rowItems count="2">
    <i>
      <x/>
    </i>
    <i t="grand">
      <x/>
    </i>
  </rowItems>
  <colItems count="1">
    <i/>
  </colItems>
  <pageFields count="1">
    <pageField fld="6" item="1" hier="-1"/>
  </pageFields>
  <dataFields count="1">
    <dataField name="Soma de EA Play Season Pass_x000a_Price" fld="8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A9BF1-4DCD-4EAC-94F5-BFF2E1224984}" name="Tabela dinâmica7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2:B34" firstHeaderRow="1" firstDataRow="1" firstDataCol="1" rowPageCount="1" colPageCount="1"/>
  <pivotFields count="13">
    <pivotField showAll="0"/>
    <pivotField showAll="0"/>
    <pivotField axis="axisRow" showAll="0">
      <items count="2">
        <item x="0"/>
        <item t="default"/>
      </items>
    </pivotField>
    <pivotField numFmtId="14" showAll="0"/>
    <pivotField showAll="0"/>
    <pivotField numFmtId="8" showAll="0"/>
    <pivotField axis="axisPage" showAll="0">
      <items count="4">
        <item x="2"/>
        <item x="0"/>
        <item x="1"/>
        <item t="default"/>
      </items>
    </pivotField>
    <pivotField showAll="0"/>
    <pivotField numFmtId="8" showAll="0"/>
    <pivotField showAll="0"/>
    <pivotField dataField="1" numFmtId="8" showAll="0"/>
    <pivotField numFmtId="8" showAll="0"/>
    <pivotField numFmtId="8" showAll="0"/>
  </pivotFields>
  <rowFields count="1">
    <field x="2"/>
  </rowFields>
  <rowItems count="2">
    <i>
      <x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082DA-CDB0-48E6-94C2-4846A6CC557D}" name="Tabela dinâmica3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9">
  <location ref="A15:B26" firstHeaderRow="1" firstDataRow="1" firstDataCol="1" rowPageCount="1" colPageCount="1"/>
  <pivotFields count="14">
    <pivotField dataField="1" showAll="0"/>
    <pivotField showAll="0"/>
    <pivotField axis="axisRow" numFmtId="14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numFmtId="8" showAll="0"/>
    <pivotField axis="axisPage" showAll="0">
      <items count="4">
        <item x="2"/>
        <item x="0"/>
        <item x="1"/>
        <item t="default"/>
      </items>
    </pivotField>
    <pivotField showAll="0"/>
    <pivotField numFmtId="8" showAll="0"/>
    <pivotField showAll="0"/>
    <pivotField numFmtId="8" showAll="0"/>
    <pivotField numFmtId="8" showAll="0"/>
    <pivotField numFmtId="8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2"/>
  </rowFields>
  <rowItems count="11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5" item="2" hier="-1"/>
  </pageFields>
  <dataFields count="1">
    <dataField name="Contagem de Name" fld="0" subtotal="count" baseField="0" baseItem="0"/>
  </dataFields>
  <formats count="1">
    <format dxfId="5">
      <pivotArea field="5" type="button" dataOnly="0" labelOnly="1" outline="0" axis="axisPage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D04ED-20B7-4AD6-A03B-BC091EA49E3C}" name="Tabela dinâmica2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1">
  <location ref="A6:B9" firstHeaderRow="1" firstDataRow="1" firstDataCol="1" rowPageCount="1" colPageCount="1"/>
  <pivotFields count="14">
    <pivotField compact="0" outline="0" showAll="0"/>
    <pivotField compact="0" outline="0" showAll="0"/>
    <pivotField compact="0" numFmtId="14" outline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numFmtId="8" outline="0" showAll="0"/>
    <pivotField axis="axisPage" dataField="1" compact="0" outline="0" multipleItemSelectionAllowed="1" showAll="0">
      <items count="4">
        <item h="1" x="2"/>
        <item h="1" x="0"/>
        <item x="1"/>
        <item t="default"/>
      </items>
    </pivotField>
    <pivotField compact="0" outline="0" showAll="0"/>
    <pivotField compact="0" numFmtId="8" outline="0" showAll="0"/>
    <pivotField compact="0" outline="0" showAll="0"/>
    <pivotField compact="0" numFmtId="8" outline="0" showAll="0"/>
    <pivotField compact="0" numFmtId="8" outline="0" showAll="0"/>
    <pivotField compact="0" numFmtId="8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Contagem de Subscription Type" fld="5" subtotal="count" baseField="0" baseItem="0"/>
  </dataFields>
  <chartFormats count="17"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0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0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D4172F2-B9A2-4350-975D-495EFEFEB602}" sourceName="Subscription Type">
  <pivotTables>
    <pivotTable tabId="3" name="Tabela dinâmica2"/>
    <pivotTable tabId="3" name="Tabela dinâmica3"/>
  </pivotTables>
  <data>
    <tabular pivotCacheId="1244323407">
      <items count="3">
        <i x="2"/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5E85048D-F8EF-4227-8CBD-11089FA54B10}" sourceName="Subscription Type">
  <pivotTables>
    <pivotTable tabId="3" name="Tabela dinâmica7"/>
    <pivotTable tabId="3" name="Tabela dinâmica8"/>
  </pivotTables>
  <data>
    <tabular pivotCacheId="465692124">
      <items count="3">
        <i x="2"/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AE479CCD-9992-447B-A979-30521EB5B7EA}" cache="SegmentaçãodeDados_Subscription_Type" caption="Subscription Type" style="SlicerStyleLight3 2" rowHeight="247650"/>
  <slicer name="Subscription Type" xr10:uid="{F2CC6FE5-1A1F-4D0E-A11E-FA5AB39E8D5F}" cache="SegmentaçãodeDados_Subscription_Type1" caption="Subscription Type" style="SlicerStyleLight3 2" rowHeight="2476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2571-E5B1-4D68-B875-FDE311A2BA7F}">
  <dimension ref="A1:O31"/>
  <sheetViews>
    <sheetView showGridLines="0" workbookViewId="0">
      <selection activeCell="A4" sqref="A4"/>
    </sheetView>
  </sheetViews>
  <sheetFormatPr defaultRowHeight="14.4"/>
  <cols>
    <col min="1" max="1" width="13" bestFit="1" customWidth="1"/>
    <col min="2" max="2" width="9.33203125" bestFit="1" customWidth="1"/>
  </cols>
  <sheetData>
    <row r="1" spans="1:15" ht="17.399999999999999">
      <c r="A1" s="27" t="s">
        <v>0</v>
      </c>
      <c r="B1" s="27"/>
      <c r="C1" s="27"/>
      <c r="D1" s="27"/>
    </row>
    <row r="3" spans="1:15" ht="15.6">
      <c r="A3" s="2" t="s">
        <v>1</v>
      </c>
      <c r="B3" t="s">
        <v>2</v>
      </c>
    </row>
    <row r="4" spans="1:15" ht="15.6">
      <c r="A4" s="3" t="s">
        <v>3</v>
      </c>
      <c r="B4" t="s">
        <v>4</v>
      </c>
    </row>
    <row r="5" spans="1:15" ht="15.6">
      <c r="A5" s="4" t="s">
        <v>5</v>
      </c>
      <c r="B5" t="s">
        <v>6</v>
      </c>
    </row>
    <row r="6" spans="1:15" ht="15.6">
      <c r="A6" s="5" t="s">
        <v>7</v>
      </c>
      <c r="B6" t="s">
        <v>8</v>
      </c>
    </row>
    <row r="7" spans="1:15" ht="15.6">
      <c r="A7" s="6" t="s">
        <v>9</v>
      </c>
      <c r="B7" s="1" t="s">
        <v>10</v>
      </c>
      <c r="C7" s="1" t="s">
        <v>11</v>
      </c>
      <c r="D7" s="1" t="s">
        <v>11</v>
      </c>
    </row>
    <row r="10" spans="1: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9.8">
      <c r="A11" s="8" t="s">
        <v>12</v>
      </c>
      <c r="B11" s="8" t="s">
        <v>13</v>
      </c>
      <c r="C11" s="8" t="s">
        <v>13</v>
      </c>
      <c r="D11" s="8" t="s">
        <v>13</v>
      </c>
      <c r="E11" s="8" t="s">
        <v>13</v>
      </c>
      <c r="F11" s="8" t="s">
        <v>13</v>
      </c>
      <c r="G11" s="8" t="s">
        <v>13</v>
      </c>
      <c r="H11" s="7"/>
      <c r="I11" s="8" t="s">
        <v>14</v>
      </c>
      <c r="J11" s="8" t="s">
        <v>13</v>
      </c>
      <c r="K11" s="8" t="s">
        <v>13</v>
      </c>
      <c r="L11" s="8" t="s">
        <v>13</v>
      </c>
      <c r="M11" s="8" t="s">
        <v>13</v>
      </c>
      <c r="N11" s="8" t="s">
        <v>13</v>
      </c>
      <c r="O11" s="8" t="s">
        <v>13</v>
      </c>
    </row>
    <row r="12" spans="1:15">
      <c r="A12" s="9" t="s">
        <v>13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  <c r="H12" s="7"/>
      <c r="I12" s="28"/>
      <c r="J12" s="28"/>
      <c r="K12" s="28"/>
      <c r="L12" s="28"/>
      <c r="M12" s="7"/>
      <c r="N12" s="7"/>
      <c r="O12" s="7"/>
    </row>
    <row r="13" spans="1:15">
      <c r="A13" s="9" t="s">
        <v>13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  <c r="H13" s="7"/>
      <c r="I13" s="28"/>
      <c r="J13" s="28"/>
      <c r="K13" s="28"/>
      <c r="L13" s="28"/>
      <c r="M13" s="7"/>
      <c r="N13" s="7"/>
      <c r="O13" s="7"/>
    </row>
    <row r="14" spans="1:15">
      <c r="A14" s="9" t="s">
        <v>13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  <c r="H14" s="7"/>
      <c r="I14" s="28"/>
      <c r="J14" s="28"/>
      <c r="K14" s="28"/>
      <c r="L14" s="28"/>
      <c r="M14" s="7"/>
      <c r="N14" s="7"/>
      <c r="O14" s="7"/>
    </row>
    <row r="15" spans="1:15">
      <c r="A15" s="9" t="s">
        <v>13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  <c r="H15" s="7"/>
      <c r="I15" s="28"/>
      <c r="J15" s="28"/>
      <c r="K15" s="28"/>
      <c r="L15" s="28"/>
      <c r="M15" s="7"/>
      <c r="N15" s="7"/>
      <c r="O15" s="7"/>
    </row>
    <row r="16" spans="1:15">
      <c r="A16" s="9" t="s">
        <v>13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  <c r="H16" s="7"/>
      <c r="I16" s="28"/>
      <c r="J16" s="28"/>
      <c r="K16" s="28"/>
      <c r="L16" s="28"/>
      <c r="M16" s="7"/>
      <c r="N16" s="7"/>
      <c r="O16" s="7"/>
    </row>
    <row r="17" spans="1:15">
      <c r="A17" s="9" t="s">
        <v>13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  <c r="H17" s="7"/>
      <c r="I17" s="7"/>
      <c r="J17" s="7"/>
      <c r="K17" s="7"/>
      <c r="L17" s="7"/>
      <c r="M17" s="7"/>
      <c r="N17" s="7"/>
      <c r="O17" s="7"/>
    </row>
    <row r="18" spans="1:15">
      <c r="A18" s="9" t="s">
        <v>13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  <c r="H18" s="7"/>
      <c r="I18" s="7"/>
      <c r="J18" s="7"/>
      <c r="K18" s="7"/>
      <c r="L18" s="7"/>
      <c r="M18" s="7"/>
      <c r="N18" s="7"/>
      <c r="O18" s="7"/>
    </row>
    <row r="19" spans="1:15">
      <c r="A19" s="9" t="s">
        <v>13</v>
      </c>
      <c r="B19" s="9" t="s">
        <v>13</v>
      </c>
      <c r="C19" s="9" t="s">
        <v>13</v>
      </c>
      <c r="D19" s="9" t="s">
        <v>13</v>
      </c>
      <c r="E19" s="9" t="s">
        <v>13</v>
      </c>
      <c r="F19" s="9" t="s">
        <v>13</v>
      </c>
      <c r="G19" s="9" t="s">
        <v>13</v>
      </c>
      <c r="H19" s="7"/>
      <c r="I19" s="7"/>
      <c r="J19" s="7"/>
      <c r="K19" s="7"/>
      <c r="L19" s="7"/>
      <c r="M19" s="7"/>
      <c r="N19" s="7"/>
      <c r="O19" s="7"/>
    </row>
    <row r="20" spans="1:15">
      <c r="A20" s="9" t="s">
        <v>13</v>
      </c>
      <c r="B20" s="9" t="s">
        <v>13</v>
      </c>
      <c r="C20" s="9" t="s">
        <v>13</v>
      </c>
      <c r="D20" s="9" t="s">
        <v>13</v>
      </c>
      <c r="E20" s="9" t="s">
        <v>13</v>
      </c>
      <c r="F20" s="9" t="s">
        <v>13</v>
      </c>
      <c r="G20" s="9" t="s">
        <v>13</v>
      </c>
      <c r="H20" s="7"/>
      <c r="I20" s="7"/>
      <c r="J20" s="7"/>
      <c r="K20" s="7"/>
      <c r="L20" s="7"/>
      <c r="M20" s="7"/>
      <c r="N20" s="7"/>
      <c r="O20" s="7"/>
    </row>
    <row r="21" spans="1: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</sheetData>
  <mergeCells count="2">
    <mergeCell ref="A1:D1"/>
    <mergeCell ref="I12:L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opLeftCell="A60" workbookViewId="0">
      <selection activeCell="H105" sqref="H105"/>
    </sheetView>
  </sheetViews>
  <sheetFormatPr defaultRowHeight="14.4"/>
  <cols>
    <col min="2" max="2" width="20" customWidth="1"/>
    <col min="3" max="3" width="8.33203125" bestFit="1" customWidth="1"/>
    <col min="4" max="4" width="11.5546875" customWidth="1"/>
    <col min="5" max="5" width="20.77734375" customWidth="1"/>
  </cols>
  <sheetData>
    <row r="1" spans="1:13" ht="57.6">
      <c r="A1" s="10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2" t="s">
        <v>27</v>
      </c>
    </row>
    <row r="2" spans="1:13">
      <c r="A2" s="13">
        <v>3231</v>
      </c>
      <c r="B2" s="14" t="s">
        <v>28</v>
      </c>
      <c r="C2" s="14" t="s">
        <v>29</v>
      </c>
      <c r="D2" s="15">
        <v>45292</v>
      </c>
      <c r="E2" s="14" t="s">
        <v>30</v>
      </c>
      <c r="F2" s="16">
        <v>15</v>
      </c>
      <c r="G2" s="14" t="s">
        <v>31</v>
      </c>
      <c r="H2" s="14" t="s">
        <v>30</v>
      </c>
      <c r="I2" s="16">
        <v>30</v>
      </c>
      <c r="J2" s="14" t="s">
        <v>30</v>
      </c>
      <c r="K2" s="16">
        <v>20</v>
      </c>
      <c r="L2" s="16">
        <v>5</v>
      </c>
      <c r="M2" s="17">
        <v>60</v>
      </c>
    </row>
    <row r="3" spans="1:13">
      <c r="A3" s="13">
        <v>3234</v>
      </c>
      <c r="B3" s="14" t="s">
        <v>32</v>
      </c>
      <c r="C3" s="14" t="s">
        <v>29</v>
      </c>
      <c r="D3" s="15">
        <v>45342</v>
      </c>
      <c r="E3" s="14" t="s">
        <v>33</v>
      </c>
      <c r="F3" s="16">
        <v>15</v>
      </c>
      <c r="G3" s="14" t="s">
        <v>31</v>
      </c>
      <c r="H3" s="14" t="s">
        <v>30</v>
      </c>
      <c r="I3" s="16">
        <v>30</v>
      </c>
      <c r="J3" s="14" t="s">
        <v>30</v>
      </c>
      <c r="K3" s="16">
        <v>20</v>
      </c>
      <c r="L3" s="16">
        <v>3</v>
      </c>
      <c r="M3" s="17">
        <v>62</v>
      </c>
    </row>
    <row r="4" spans="1:13">
      <c r="A4" s="13">
        <v>3237</v>
      </c>
      <c r="B4" s="14" t="s">
        <v>34</v>
      </c>
      <c r="C4" s="14" t="s">
        <v>29</v>
      </c>
      <c r="D4" s="15">
        <v>45354</v>
      </c>
      <c r="E4" s="14" t="s">
        <v>30</v>
      </c>
      <c r="F4" s="16">
        <v>15</v>
      </c>
      <c r="G4" s="14" t="s">
        <v>35</v>
      </c>
      <c r="H4" s="14" t="s">
        <v>30</v>
      </c>
      <c r="I4" s="16">
        <v>30</v>
      </c>
      <c r="J4" s="14" t="s">
        <v>30</v>
      </c>
      <c r="K4" s="16">
        <v>20</v>
      </c>
      <c r="L4" s="16">
        <v>10</v>
      </c>
      <c r="M4" s="17">
        <v>55</v>
      </c>
    </row>
    <row r="5" spans="1:13">
      <c r="A5" s="13">
        <v>3239</v>
      </c>
      <c r="B5" s="14" t="s">
        <v>36</v>
      </c>
      <c r="C5" s="14" t="s">
        <v>29</v>
      </c>
      <c r="D5" s="15">
        <v>45356</v>
      </c>
      <c r="E5" s="14" t="s">
        <v>33</v>
      </c>
      <c r="F5" s="16">
        <v>15</v>
      </c>
      <c r="G5" s="14" t="s">
        <v>31</v>
      </c>
      <c r="H5" s="14" t="s">
        <v>30</v>
      </c>
      <c r="I5" s="16">
        <v>30</v>
      </c>
      <c r="J5" s="14" t="s">
        <v>30</v>
      </c>
      <c r="K5" s="16">
        <v>20</v>
      </c>
      <c r="L5" s="16">
        <v>5</v>
      </c>
      <c r="M5" s="17">
        <v>60</v>
      </c>
    </row>
    <row r="6" spans="1:13">
      <c r="A6" s="13">
        <v>3242</v>
      </c>
      <c r="B6" s="14" t="s">
        <v>37</v>
      </c>
      <c r="C6" s="14" t="s">
        <v>29</v>
      </c>
      <c r="D6" s="15">
        <v>45359</v>
      </c>
      <c r="E6" s="14" t="s">
        <v>30</v>
      </c>
      <c r="F6" s="16">
        <v>15</v>
      </c>
      <c r="G6" s="14" t="s">
        <v>38</v>
      </c>
      <c r="H6" s="14" t="s">
        <v>30</v>
      </c>
      <c r="I6" s="16">
        <v>30</v>
      </c>
      <c r="J6" s="14" t="s">
        <v>30</v>
      </c>
      <c r="K6" s="16">
        <v>20</v>
      </c>
      <c r="L6" s="16">
        <v>20</v>
      </c>
      <c r="M6" s="17">
        <v>45</v>
      </c>
    </row>
    <row r="7" spans="1:13">
      <c r="A7" s="13">
        <v>3245</v>
      </c>
      <c r="B7" s="14" t="s">
        <v>39</v>
      </c>
      <c r="C7" s="14" t="s">
        <v>29</v>
      </c>
      <c r="D7" s="15">
        <v>45362</v>
      </c>
      <c r="E7" s="14" t="s">
        <v>33</v>
      </c>
      <c r="F7" s="16">
        <v>15</v>
      </c>
      <c r="G7" s="14" t="s">
        <v>31</v>
      </c>
      <c r="H7" s="14" t="s">
        <v>30</v>
      </c>
      <c r="I7" s="16">
        <v>30</v>
      </c>
      <c r="J7" s="14" t="s">
        <v>30</v>
      </c>
      <c r="K7" s="16">
        <v>20</v>
      </c>
      <c r="L7" s="16">
        <v>8</v>
      </c>
      <c r="M7" s="17">
        <v>57</v>
      </c>
    </row>
    <row r="8" spans="1:13">
      <c r="A8" s="13">
        <v>3248</v>
      </c>
      <c r="B8" s="14" t="s">
        <v>40</v>
      </c>
      <c r="C8" s="14" t="s">
        <v>29</v>
      </c>
      <c r="D8" s="15">
        <v>45365</v>
      </c>
      <c r="E8" s="14" t="s">
        <v>30</v>
      </c>
      <c r="F8" s="16">
        <v>15</v>
      </c>
      <c r="G8" s="14" t="s">
        <v>35</v>
      </c>
      <c r="H8" s="14" t="s">
        <v>30</v>
      </c>
      <c r="I8" s="16">
        <v>30</v>
      </c>
      <c r="J8" s="14" t="s">
        <v>30</v>
      </c>
      <c r="K8" s="16">
        <v>20</v>
      </c>
      <c r="L8" s="16">
        <v>7</v>
      </c>
      <c r="M8" s="17">
        <v>58</v>
      </c>
    </row>
    <row r="9" spans="1:13">
      <c r="A9" s="13">
        <v>3251</v>
      </c>
      <c r="B9" s="14" t="s">
        <v>41</v>
      </c>
      <c r="C9" s="14" t="s">
        <v>29</v>
      </c>
      <c r="D9" s="15">
        <v>45368</v>
      </c>
      <c r="E9" s="14" t="s">
        <v>33</v>
      </c>
      <c r="F9" s="16">
        <v>15</v>
      </c>
      <c r="G9" s="14" t="s">
        <v>31</v>
      </c>
      <c r="H9" s="14" t="s">
        <v>30</v>
      </c>
      <c r="I9" s="16">
        <v>30</v>
      </c>
      <c r="J9" s="14" t="s">
        <v>30</v>
      </c>
      <c r="K9" s="16">
        <v>20</v>
      </c>
      <c r="L9" s="16">
        <v>3</v>
      </c>
      <c r="M9" s="17">
        <v>62</v>
      </c>
    </row>
    <row r="10" spans="1:13">
      <c r="A10" s="13">
        <v>3254</v>
      </c>
      <c r="B10" s="14" t="s">
        <v>42</v>
      </c>
      <c r="C10" s="14" t="s">
        <v>29</v>
      </c>
      <c r="D10" s="15">
        <v>45371</v>
      </c>
      <c r="E10" s="14" t="s">
        <v>30</v>
      </c>
      <c r="F10" s="16">
        <v>15</v>
      </c>
      <c r="G10" s="14" t="s">
        <v>38</v>
      </c>
      <c r="H10" s="14" t="s">
        <v>30</v>
      </c>
      <c r="I10" s="16">
        <v>30</v>
      </c>
      <c r="J10" s="14" t="s">
        <v>30</v>
      </c>
      <c r="K10" s="16">
        <v>20</v>
      </c>
      <c r="L10" s="16">
        <v>20</v>
      </c>
      <c r="M10" s="17">
        <v>45</v>
      </c>
    </row>
    <row r="11" spans="1:13">
      <c r="A11" s="13">
        <v>3257</v>
      </c>
      <c r="B11" s="14" t="s">
        <v>43</v>
      </c>
      <c r="C11" s="14" t="s">
        <v>29</v>
      </c>
      <c r="D11" s="15">
        <v>45374</v>
      </c>
      <c r="E11" s="14" t="s">
        <v>33</v>
      </c>
      <c r="F11" s="16">
        <v>15</v>
      </c>
      <c r="G11" s="14" t="s">
        <v>31</v>
      </c>
      <c r="H11" s="14" t="s">
        <v>30</v>
      </c>
      <c r="I11" s="16">
        <v>30</v>
      </c>
      <c r="J11" s="14" t="s">
        <v>30</v>
      </c>
      <c r="K11" s="16">
        <v>20</v>
      </c>
      <c r="L11" s="16">
        <v>5</v>
      </c>
      <c r="M11" s="17">
        <v>60</v>
      </c>
    </row>
    <row r="12" spans="1:13">
      <c r="A12" s="13">
        <v>3260</v>
      </c>
      <c r="B12" s="14" t="s">
        <v>44</v>
      </c>
      <c r="C12" s="14" t="s">
        <v>29</v>
      </c>
      <c r="D12" s="15">
        <v>45377</v>
      </c>
      <c r="E12" s="14" t="s">
        <v>30</v>
      </c>
      <c r="F12" s="16">
        <v>15</v>
      </c>
      <c r="G12" s="14" t="s">
        <v>35</v>
      </c>
      <c r="H12" s="14" t="s">
        <v>30</v>
      </c>
      <c r="I12" s="16">
        <v>30</v>
      </c>
      <c r="J12" s="14" t="s">
        <v>30</v>
      </c>
      <c r="K12" s="16">
        <v>20</v>
      </c>
      <c r="L12" s="16">
        <v>7</v>
      </c>
      <c r="M12" s="17">
        <v>58</v>
      </c>
    </row>
    <row r="13" spans="1:13">
      <c r="A13" s="13">
        <v>3263</v>
      </c>
      <c r="B13" s="14" t="s">
        <v>45</v>
      </c>
      <c r="C13" s="14" t="s">
        <v>29</v>
      </c>
      <c r="D13" s="15">
        <v>45380</v>
      </c>
      <c r="E13" s="14" t="s">
        <v>33</v>
      </c>
      <c r="F13" s="16">
        <v>15</v>
      </c>
      <c r="G13" s="14" t="s">
        <v>31</v>
      </c>
      <c r="H13" s="14" t="s">
        <v>30</v>
      </c>
      <c r="I13" s="16">
        <v>30</v>
      </c>
      <c r="J13" s="14" t="s">
        <v>30</v>
      </c>
      <c r="K13" s="16">
        <v>20</v>
      </c>
      <c r="L13" s="16">
        <v>3</v>
      </c>
      <c r="M13" s="17">
        <v>62</v>
      </c>
    </row>
    <row r="14" spans="1:13">
      <c r="A14" s="13">
        <v>3267</v>
      </c>
      <c r="B14" s="14" t="s">
        <v>46</v>
      </c>
      <c r="C14" s="14" t="s">
        <v>29</v>
      </c>
      <c r="D14" s="15">
        <v>45384</v>
      </c>
      <c r="E14" s="14" t="s">
        <v>33</v>
      </c>
      <c r="F14" s="16">
        <v>15</v>
      </c>
      <c r="G14" s="14" t="s">
        <v>35</v>
      </c>
      <c r="H14" s="14" t="s">
        <v>30</v>
      </c>
      <c r="I14" s="16">
        <v>30</v>
      </c>
      <c r="J14" s="14" t="s">
        <v>30</v>
      </c>
      <c r="K14" s="16">
        <v>20</v>
      </c>
      <c r="L14" s="16">
        <v>7</v>
      </c>
      <c r="M14" s="17">
        <v>58</v>
      </c>
    </row>
    <row r="15" spans="1:13">
      <c r="A15" s="13">
        <v>3270</v>
      </c>
      <c r="B15" s="14" t="s">
        <v>47</v>
      </c>
      <c r="C15" s="14" t="s">
        <v>29</v>
      </c>
      <c r="D15" s="15">
        <v>45387</v>
      </c>
      <c r="E15" s="14" t="s">
        <v>30</v>
      </c>
      <c r="F15" s="16">
        <v>15</v>
      </c>
      <c r="G15" s="14" t="s">
        <v>31</v>
      </c>
      <c r="H15" s="14" t="s">
        <v>30</v>
      </c>
      <c r="I15" s="16">
        <v>30</v>
      </c>
      <c r="J15" s="14" t="s">
        <v>30</v>
      </c>
      <c r="K15" s="16">
        <v>20</v>
      </c>
      <c r="L15" s="16">
        <v>15</v>
      </c>
      <c r="M15" s="17">
        <v>50</v>
      </c>
    </row>
    <row r="16" spans="1:13">
      <c r="A16" s="13">
        <v>3273</v>
      </c>
      <c r="B16" s="14" t="s">
        <v>48</v>
      </c>
      <c r="C16" s="14" t="s">
        <v>29</v>
      </c>
      <c r="D16" s="15">
        <v>45390</v>
      </c>
      <c r="E16" s="14" t="s">
        <v>33</v>
      </c>
      <c r="F16" s="16">
        <v>15</v>
      </c>
      <c r="G16" s="14" t="s">
        <v>35</v>
      </c>
      <c r="H16" s="14" t="s">
        <v>30</v>
      </c>
      <c r="I16" s="16">
        <v>30</v>
      </c>
      <c r="J16" s="14" t="s">
        <v>30</v>
      </c>
      <c r="K16" s="16">
        <v>20</v>
      </c>
      <c r="L16" s="16">
        <v>20</v>
      </c>
      <c r="M16" s="17">
        <v>45</v>
      </c>
    </row>
    <row r="17" spans="1:13">
      <c r="A17" s="13">
        <v>3276</v>
      </c>
      <c r="B17" s="14" t="s">
        <v>49</v>
      </c>
      <c r="C17" s="14" t="s">
        <v>29</v>
      </c>
      <c r="D17" s="15">
        <v>45393</v>
      </c>
      <c r="E17" s="14" t="s">
        <v>30</v>
      </c>
      <c r="F17" s="16">
        <v>15</v>
      </c>
      <c r="G17" s="14" t="s">
        <v>38</v>
      </c>
      <c r="H17" s="14" t="s">
        <v>30</v>
      </c>
      <c r="I17" s="16">
        <v>30</v>
      </c>
      <c r="J17" s="14" t="s">
        <v>30</v>
      </c>
      <c r="K17" s="16">
        <v>20</v>
      </c>
      <c r="L17" s="16">
        <v>5</v>
      </c>
      <c r="M17" s="17">
        <v>60</v>
      </c>
    </row>
    <row r="18" spans="1:13">
      <c r="A18" s="13">
        <v>3279</v>
      </c>
      <c r="B18" s="14" t="s">
        <v>50</v>
      </c>
      <c r="C18" s="14" t="s">
        <v>29</v>
      </c>
      <c r="D18" s="15">
        <v>45396</v>
      </c>
      <c r="E18" s="14" t="s">
        <v>33</v>
      </c>
      <c r="F18" s="16">
        <v>15</v>
      </c>
      <c r="G18" s="14" t="s">
        <v>31</v>
      </c>
      <c r="H18" s="14" t="s">
        <v>30</v>
      </c>
      <c r="I18" s="16">
        <v>30</v>
      </c>
      <c r="J18" s="14" t="s">
        <v>30</v>
      </c>
      <c r="K18" s="16">
        <v>20</v>
      </c>
      <c r="L18" s="16">
        <v>3</v>
      </c>
      <c r="M18" s="17">
        <v>62</v>
      </c>
    </row>
    <row r="19" spans="1:13">
      <c r="A19" s="13">
        <v>3282</v>
      </c>
      <c r="B19" s="14" t="s">
        <v>51</v>
      </c>
      <c r="C19" s="14" t="s">
        <v>29</v>
      </c>
      <c r="D19" s="15">
        <v>45399</v>
      </c>
      <c r="E19" s="14" t="s">
        <v>30</v>
      </c>
      <c r="F19" s="16">
        <v>15</v>
      </c>
      <c r="G19" s="14" t="s">
        <v>35</v>
      </c>
      <c r="H19" s="14" t="s">
        <v>30</v>
      </c>
      <c r="I19" s="16">
        <v>30</v>
      </c>
      <c r="J19" s="14" t="s">
        <v>30</v>
      </c>
      <c r="K19" s="16">
        <v>20</v>
      </c>
      <c r="L19" s="16">
        <v>7</v>
      </c>
      <c r="M19" s="17">
        <v>58</v>
      </c>
    </row>
    <row r="20" spans="1:13">
      <c r="A20" s="13">
        <v>3285</v>
      </c>
      <c r="B20" s="14" t="s">
        <v>52</v>
      </c>
      <c r="C20" s="14" t="s">
        <v>29</v>
      </c>
      <c r="D20" s="15">
        <v>45402</v>
      </c>
      <c r="E20" s="14" t="s">
        <v>33</v>
      </c>
      <c r="F20" s="16">
        <v>15</v>
      </c>
      <c r="G20" s="14" t="s">
        <v>31</v>
      </c>
      <c r="H20" s="14" t="s">
        <v>30</v>
      </c>
      <c r="I20" s="16">
        <v>30</v>
      </c>
      <c r="J20" s="14" t="s">
        <v>30</v>
      </c>
      <c r="K20" s="16">
        <v>20</v>
      </c>
      <c r="L20" s="16">
        <v>20</v>
      </c>
      <c r="M20" s="17">
        <v>45</v>
      </c>
    </row>
    <row r="21" spans="1:13">
      <c r="A21" s="13">
        <v>3288</v>
      </c>
      <c r="B21" s="14" t="s">
        <v>53</v>
      </c>
      <c r="C21" s="14" t="s">
        <v>29</v>
      </c>
      <c r="D21" s="15">
        <v>45405</v>
      </c>
      <c r="E21" s="14" t="s">
        <v>30</v>
      </c>
      <c r="F21" s="16">
        <v>15</v>
      </c>
      <c r="G21" s="14" t="s">
        <v>38</v>
      </c>
      <c r="H21" s="14" t="s">
        <v>30</v>
      </c>
      <c r="I21" s="16">
        <v>30</v>
      </c>
      <c r="J21" s="14" t="s">
        <v>30</v>
      </c>
      <c r="K21" s="16">
        <v>20</v>
      </c>
      <c r="L21" s="16">
        <v>3</v>
      </c>
      <c r="M21" s="17">
        <v>62</v>
      </c>
    </row>
    <row r="22" spans="1:13">
      <c r="A22" s="13">
        <v>3291</v>
      </c>
      <c r="B22" s="14" t="s">
        <v>54</v>
      </c>
      <c r="C22" s="14" t="s">
        <v>29</v>
      </c>
      <c r="D22" s="15">
        <v>45408</v>
      </c>
      <c r="E22" s="14" t="s">
        <v>33</v>
      </c>
      <c r="F22" s="16">
        <v>15</v>
      </c>
      <c r="G22" s="14" t="s">
        <v>31</v>
      </c>
      <c r="H22" s="14" t="s">
        <v>30</v>
      </c>
      <c r="I22" s="16">
        <v>30</v>
      </c>
      <c r="J22" s="14" t="s">
        <v>30</v>
      </c>
      <c r="K22" s="16">
        <v>20</v>
      </c>
      <c r="L22" s="16">
        <v>5</v>
      </c>
      <c r="M22" s="17">
        <v>60</v>
      </c>
    </row>
    <row r="23" spans="1:13">
      <c r="A23" s="13">
        <v>3294</v>
      </c>
      <c r="B23" s="14" t="s">
        <v>55</v>
      </c>
      <c r="C23" s="14" t="s">
        <v>29</v>
      </c>
      <c r="D23" s="15">
        <v>45411</v>
      </c>
      <c r="E23" s="14" t="s">
        <v>30</v>
      </c>
      <c r="F23" s="16">
        <v>15</v>
      </c>
      <c r="G23" s="14" t="s">
        <v>35</v>
      </c>
      <c r="H23" s="14" t="s">
        <v>30</v>
      </c>
      <c r="I23" s="16">
        <v>30</v>
      </c>
      <c r="J23" s="14" t="s">
        <v>30</v>
      </c>
      <c r="K23" s="16">
        <v>20</v>
      </c>
      <c r="L23" s="16">
        <v>20</v>
      </c>
      <c r="M23" s="17">
        <v>45</v>
      </c>
    </row>
    <row r="24" spans="1:13">
      <c r="A24" s="13">
        <v>3297</v>
      </c>
      <c r="B24" s="14" t="s">
        <v>56</v>
      </c>
      <c r="C24" s="14" t="s">
        <v>29</v>
      </c>
      <c r="D24" s="15">
        <v>45414</v>
      </c>
      <c r="E24" s="14" t="s">
        <v>30</v>
      </c>
      <c r="F24" s="16">
        <v>15</v>
      </c>
      <c r="G24" s="14" t="s">
        <v>35</v>
      </c>
      <c r="H24" s="14" t="s">
        <v>30</v>
      </c>
      <c r="I24" s="16">
        <v>30</v>
      </c>
      <c r="J24" s="14" t="s">
        <v>30</v>
      </c>
      <c r="K24" s="16">
        <v>20</v>
      </c>
      <c r="L24" s="16">
        <v>7</v>
      </c>
      <c r="M24" s="17">
        <v>58</v>
      </c>
    </row>
    <row r="25" spans="1:13">
      <c r="A25" s="13">
        <v>3300</v>
      </c>
      <c r="B25" s="14" t="s">
        <v>57</v>
      </c>
      <c r="C25" s="14" t="s">
        <v>29</v>
      </c>
      <c r="D25" s="15">
        <v>45417</v>
      </c>
      <c r="E25" s="14" t="s">
        <v>33</v>
      </c>
      <c r="F25" s="16">
        <v>15</v>
      </c>
      <c r="G25" s="14" t="s">
        <v>31</v>
      </c>
      <c r="H25" s="14" t="s">
        <v>30</v>
      </c>
      <c r="I25" s="16">
        <v>30</v>
      </c>
      <c r="J25" s="14" t="s">
        <v>30</v>
      </c>
      <c r="K25" s="16">
        <v>20</v>
      </c>
      <c r="L25" s="16">
        <v>15</v>
      </c>
      <c r="M25" s="17">
        <v>50</v>
      </c>
    </row>
    <row r="26" spans="1:13">
      <c r="A26" s="13">
        <v>3303</v>
      </c>
      <c r="B26" s="14" t="s">
        <v>58</v>
      </c>
      <c r="C26" s="14" t="s">
        <v>29</v>
      </c>
      <c r="D26" s="15">
        <v>45420</v>
      </c>
      <c r="E26" s="14" t="s">
        <v>30</v>
      </c>
      <c r="F26" s="16">
        <v>15</v>
      </c>
      <c r="G26" s="14" t="s">
        <v>35</v>
      </c>
      <c r="H26" s="14" t="s">
        <v>30</v>
      </c>
      <c r="I26" s="16">
        <v>30</v>
      </c>
      <c r="J26" s="14" t="s">
        <v>30</v>
      </c>
      <c r="K26" s="16">
        <v>20</v>
      </c>
      <c r="L26" s="16">
        <v>20</v>
      </c>
      <c r="M26" s="17">
        <v>45</v>
      </c>
    </row>
    <row r="27" spans="1:13">
      <c r="A27" s="13">
        <v>3306</v>
      </c>
      <c r="B27" s="14" t="s">
        <v>59</v>
      </c>
      <c r="C27" s="14" t="s">
        <v>29</v>
      </c>
      <c r="D27" s="15">
        <v>45423</v>
      </c>
      <c r="E27" s="14" t="s">
        <v>33</v>
      </c>
      <c r="F27" s="16">
        <v>15</v>
      </c>
      <c r="G27" s="14" t="s">
        <v>38</v>
      </c>
      <c r="H27" s="14" t="s">
        <v>30</v>
      </c>
      <c r="I27" s="16">
        <v>30</v>
      </c>
      <c r="J27" s="14" t="s">
        <v>30</v>
      </c>
      <c r="K27" s="16">
        <v>20</v>
      </c>
      <c r="L27" s="16">
        <v>5</v>
      </c>
      <c r="M27" s="17">
        <v>60</v>
      </c>
    </row>
    <row r="28" spans="1:13">
      <c r="A28" s="13">
        <v>3309</v>
      </c>
      <c r="B28" s="14" t="s">
        <v>60</v>
      </c>
      <c r="C28" s="14" t="s">
        <v>29</v>
      </c>
      <c r="D28" s="15">
        <v>45426</v>
      </c>
      <c r="E28" s="14" t="s">
        <v>30</v>
      </c>
      <c r="F28" s="16">
        <v>15</v>
      </c>
      <c r="G28" s="14" t="s">
        <v>31</v>
      </c>
      <c r="H28" s="14" t="s">
        <v>30</v>
      </c>
      <c r="I28" s="16">
        <v>30</v>
      </c>
      <c r="J28" s="14" t="s">
        <v>30</v>
      </c>
      <c r="K28" s="16">
        <v>20</v>
      </c>
      <c r="L28" s="16">
        <v>3</v>
      </c>
      <c r="M28" s="17">
        <v>62</v>
      </c>
    </row>
    <row r="29" spans="1:13">
      <c r="A29" s="13">
        <v>3312</v>
      </c>
      <c r="B29" s="14" t="s">
        <v>61</v>
      </c>
      <c r="C29" s="14" t="s">
        <v>29</v>
      </c>
      <c r="D29" s="15">
        <v>45429</v>
      </c>
      <c r="E29" s="14" t="s">
        <v>33</v>
      </c>
      <c r="F29" s="16">
        <v>15</v>
      </c>
      <c r="G29" s="14" t="s">
        <v>35</v>
      </c>
      <c r="H29" s="14" t="s">
        <v>30</v>
      </c>
      <c r="I29" s="16">
        <v>30</v>
      </c>
      <c r="J29" s="14" t="s">
        <v>30</v>
      </c>
      <c r="K29" s="16">
        <v>20</v>
      </c>
      <c r="L29" s="16">
        <v>7</v>
      </c>
      <c r="M29" s="17">
        <v>58</v>
      </c>
    </row>
    <row r="30" spans="1:13">
      <c r="A30" s="13">
        <v>3315</v>
      </c>
      <c r="B30" s="14" t="s">
        <v>62</v>
      </c>
      <c r="C30" s="14" t="s">
        <v>29</v>
      </c>
      <c r="D30" s="15">
        <v>45432</v>
      </c>
      <c r="E30" s="14" t="s">
        <v>30</v>
      </c>
      <c r="F30" s="16">
        <v>15</v>
      </c>
      <c r="G30" s="14" t="s">
        <v>31</v>
      </c>
      <c r="H30" s="14" t="s">
        <v>30</v>
      </c>
      <c r="I30" s="16">
        <v>30</v>
      </c>
      <c r="J30" s="14" t="s">
        <v>30</v>
      </c>
      <c r="K30" s="16">
        <v>20</v>
      </c>
      <c r="L30" s="16">
        <v>20</v>
      </c>
      <c r="M30" s="17">
        <v>45</v>
      </c>
    </row>
    <row r="31" spans="1:13">
      <c r="A31" s="13">
        <v>3318</v>
      </c>
      <c r="B31" s="14" t="s">
        <v>63</v>
      </c>
      <c r="C31" s="14" t="s">
        <v>29</v>
      </c>
      <c r="D31" s="15">
        <v>45435</v>
      </c>
      <c r="E31" s="14" t="s">
        <v>33</v>
      </c>
      <c r="F31" s="16">
        <v>15</v>
      </c>
      <c r="G31" s="14" t="s">
        <v>38</v>
      </c>
      <c r="H31" s="14" t="s">
        <v>30</v>
      </c>
      <c r="I31" s="16">
        <v>30</v>
      </c>
      <c r="J31" s="14" t="s">
        <v>30</v>
      </c>
      <c r="K31" s="16">
        <v>20</v>
      </c>
      <c r="L31" s="16">
        <v>3</v>
      </c>
      <c r="M31" s="17">
        <v>62</v>
      </c>
    </row>
    <row r="32" spans="1:13">
      <c r="A32" s="13">
        <v>3321</v>
      </c>
      <c r="B32" s="14" t="s">
        <v>64</v>
      </c>
      <c r="C32" s="14" t="s">
        <v>29</v>
      </c>
      <c r="D32" s="15">
        <v>45438</v>
      </c>
      <c r="E32" s="14" t="s">
        <v>30</v>
      </c>
      <c r="F32" s="16">
        <v>15</v>
      </c>
      <c r="G32" s="14" t="s">
        <v>31</v>
      </c>
      <c r="H32" s="14" t="s">
        <v>30</v>
      </c>
      <c r="I32" s="16">
        <v>30</v>
      </c>
      <c r="J32" s="14" t="s">
        <v>30</v>
      </c>
      <c r="K32" s="16">
        <v>20</v>
      </c>
      <c r="L32" s="16">
        <v>5</v>
      </c>
      <c r="M32" s="17">
        <v>60</v>
      </c>
    </row>
    <row r="33" spans="1:13">
      <c r="A33" s="13">
        <v>3324</v>
      </c>
      <c r="B33" s="14" t="s">
        <v>65</v>
      </c>
      <c r="C33" s="14" t="s">
        <v>29</v>
      </c>
      <c r="D33" s="15">
        <v>45441</v>
      </c>
      <c r="E33" s="14" t="s">
        <v>33</v>
      </c>
      <c r="F33" s="16">
        <v>15</v>
      </c>
      <c r="G33" s="14" t="s">
        <v>35</v>
      </c>
      <c r="H33" s="14" t="s">
        <v>30</v>
      </c>
      <c r="I33" s="16">
        <v>30</v>
      </c>
      <c r="J33" s="14" t="s">
        <v>30</v>
      </c>
      <c r="K33" s="16">
        <v>20</v>
      </c>
      <c r="L33" s="16">
        <v>20</v>
      </c>
      <c r="M33" s="17">
        <v>45</v>
      </c>
    </row>
    <row r="34" spans="1:13">
      <c r="A34" s="13">
        <v>3327</v>
      </c>
      <c r="B34" s="14" t="s">
        <v>66</v>
      </c>
      <c r="C34" s="14" t="s">
        <v>29</v>
      </c>
      <c r="D34" s="15">
        <v>45444</v>
      </c>
      <c r="E34" s="14" t="s">
        <v>30</v>
      </c>
      <c r="F34" s="16">
        <v>15</v>
      </c>
      <c r="G34" s="14" t="s">
        <v>31</v>
      </c>
      <c r="H34" s="14" t="s">
        <v>30</v>
      </c>
      <c r="I34" s="16">
        <v>30</v>
      </c>
      <c r="J34" s="14" t="s">
        <v>30</v>
      </c>
      <c r="K34" s="16">
        <v>20</v>
      </c>
      <c r="L34" s="16">
        <v>7</v>
      </c>
      <c r="M34" s="17">
        <v>58</v>
      </c>
    </row>
    <row r="35" spans="1:13">
      <c r="A35" s="13">
        <v>3330</v>
      </c>
      <c r="B35" s="14" t="s">
        <v>67</v>
      </c>
      <c r="C35" s="14" t="s">
        <v>29</v>
      </c>
      <c r="D35" s="15">
        <v>45447</v>
      </c>
      <c r="E35" s="14" t="s">
        <v>33</v>
      </c>
      <c r="F35" s="16">
        <v>15</v>
      </c>
      <c r="G35" s="14" t="s">
        <v>31</v>
      </c>
      <c r="H35" s="14" t="s">
        <v>30</v>
      </c>
      <c r="I35" s="16">
        <v>30</v>
      </c>
      <c r="J35" s="14" t="s">
        <v>30</v>
      </c>
      <c r="K35" s="16">
        <v>20</v>
      </c>
      <c r="L35" s="16">
        <v>15</v>
      </c>
      <c r="M35" s="17">
        <v>50</v>
      </c>
    </row>
    <row r="36" spans="1:13">
      <c r="A36" s="13">
        <v>3333</v>
      </c>
      <c r="B36" s="14" t="s">
        <v>68</v>
      </c>
      <c r="C36" s="14" t="s">
        <v>29</v>
      </c>
      <c r="D36" s="15">
        <v>45450</v>
      </c>
      <c r="E36" s="14" t="s">
        <v>30</v>
      </c>
      <c r="F36" s="16">
        <v>15</v>
      </c>
      <c r="G36" s="14" t="s">
        <v>35</v>
      </c>
      <c r="H36" s="14" t="s">
        <v>30</v>
      </c>
      <c r="I36" s="16">
        <v>30</v>
      </c>
      <c r="J36" s="14" t="s">
        <v>30</v>
      </c>
      <c r="K36" s="16">
        <v>20</v>
      </c>
      <c r="L36" s="16">
        <v>20</v>
      </c>
      <c r="M36" s="17">
        <v>45</v>
      </c>
    </row>
    <row r="37" spans="1:13">
      <c r="A37" s="13">
        <v>3337</v>
      </c>
      <c r="B37" s="14" t="s">
        <v>69</v>
      </c>
      <c r="C37" s="14" t="s">
        <v>29</v>
      </c>
      <c r="D37" s="15">
        <v>45454</v>
      </c>
      <c r="E37" s="14" t="s">
        <v>33</v>
      </c>
      <c r="F37" s="16">
        <v>15</v>
      </c>
      <c r="G37" s="14" t="s">
        <v>35</v>
      </c>
      <c r="H37" s="14" t="s">
        <v>30</v>
      </c>
      <c r="I37" s="16">
        <v>30</v>
      </c>
      <c r="J37" s="14" t="s">
        <v>30</v>
      </c>
      <c r="K37" s="16">
        <v>20</v>
      </c>
      <c r="L37" s="16">
        <v>7</v>
      </c>
      <c r="M37" s="17">
        <v>58</v>
      </c>
    </row>
    <row r="38" spans="1:13">
      <c r="A38" s="13">
        <v>3340</v>
      </c>
      <c r="B38" s="14" t="s">
        <v>70</v>
      </c>
      <c r="C38" s="14" t="s">
        <v>29</v>
      </c>
      <c r="D38" s="15">
        <v>45457</v>
      </c>
      <c r="E38" s="14" t="s">
        <v>30</v>
      </c>
      <c r="F38" s="16">
        <v>15</v>
      </c>
      <c r="G38" s="14" t="s">
        <v>31</v>
      </c>
      <c r="H38" s="14" t="s">
        <v>30</v>
      </c>
      <c r="I38" s="16">
        <v>30</v>
      </c>
      <c r="J38" s="14" t="s">
        <v>30</v>
      </c>
      <c r="K38" s="16">
        <v>20</v>
      </c>
      <c r="L38" s="16">
        <v>15</v>
      </c>
      <c r="M38" s="17">
        <v>50</v>
      </c>
    </row>
    <row r="39" spans="1:13">
      <c r="A39" s="13">
        <v>3343</v>
      </c>
      <c r="B39" s="14" t="s">
        <v>71</v>
      </c>
      <c r="C39" s="14" t="s">
        <v>29</v>
      </c>
      <c r="D39" s="15">
        <v>45460</v>
      </c>
      <c r="E39" s="14" t="s">
        <v>33</v>
      </c>
      <c r="F39" s="16">
        <v>15</v>
      </c>
      <c r="G39" s="14" t="s">
        <v>35</v>
      </c>
      <c r="H39" s="14" t="s">
        <v>30</v>
      </c>
      <c r="I39" s="16">
        <v>30</v>
      </c>
      <c r="J39" s="14" t="s">
        <v>30</v>
      </c>
      <c r="K39" s="16">
        <v>20</v>
      </c>
      <c r="L39" s="16">
        <v>20</v>
      </c>
      <c r="M39" s="17">
        <v>45</v>
      </c>
    </row>
    <row r="40" spans="1:13">
      <c r="A40" s="13">
        <v>3346</v>
      </c>
      <c r="B40" s="14" t="s">
        <v>72</v>
      </c>
      <c r="C40" s="14" t="s">
        <v>29</v>
      </c>
      <c r="D40" s="15">
        <v>45463</v>
      </c>
      <c r="E40" s="14" t="s">
        <v>30</v>
      </c>
      <c r="F40" s="16">
        <v>15</v>
      </c>
      <c r="G40" s="14" t="s">
        <v>38</v>
      </c>
      <c r="H40" s="14" t="s">
        <v>30</v>
      </c>
      <c r="I40" s="16">
        <v>30</v>
      </c>
      <c r="J40" s="14" t="s">
        <v>30</v>
      </c>
      <c r="K40" s="16">
        <v>20</v>
      </c>
      <c r="L40" s="16">
        <v>5</v>
      </c>
      <c r="M40" s="17">
        <v>60</v>
      </c>
    </row>
    <row r="41" spans="1:13">
      <c r="A41" s="13">
        <v>3349</v>
      </c>
      <c r="B41" s="14" t="s">
        <v>65</v>
      </c>
      <c r="C41" s="14" t="s">
        <v>29</v>
      </c>
      <c r="D41" s="15">
        <v>45466</v>
      </c>
      <c r="E41" s="14" t="s">
        <v>33</v>
      </c>
      <c r="F41" s="16">
        <v>15</v>
      </c>
      <c r="G41" s="14" t="s">
        <v>31</v>
      </c>
      <c r="H41" s="14" t="s">
        <v>30</v>
      </c>
      <c r="I41" s="16">
        <v>30</v>
      </c>
      <c r="J41" s="14" t="s">
        <v>30</v>
      </c>
      <c r="K41" s="16">
        <v>20</v>
      </c>
      <c r="L41" s="16">
        <v>3</v>
      </c>
      <c r="M41" s="17">
        <v>62</v>
      </c>
    </row>
    <row r="42" spans="1:13">
      <c r="A42" s="13">
        <v>3352</v>
      </c>
      <c r="B42" s="14" t="s">
        <v>73</v>
      </c>
      <c r="C42" s="14" t="s">
        <v>29</v>
      </c>
      <c r="D42" s="15">
        <v>45469</v>
      </c>
      <c r="E42" s="14" t="s">
        <v>30</v>
      </c>
      <c r="F42" s="16">
        <v>15</v>
      </c>
      <c r="G42" s="14" t="s">
        <v>35</v>
      </c>
      <c r="H42" s="14" t="s">
        <v>30</v>
      </c>
      <c r="I42" s="16">
        <v>30</v>
      </c>
      <c r="J42" s="14" t="s">
        <v>30</v>
      </c>
      <c r="K42" s="16">
        <v>20</v>
      </c>
      <c r="L42" s="16">
        <v>7</v>
      </c>
      <c r="M42" s="17">
        <v>58</v>
      </c>
    </row>
    <row r="43" spans="1:13">
      <c r="A43" s="13">
        <v>3355</v>
      </c>
      <c r="B43" s="14" t="s">
        <v>74</v>
      </c>
      <c r="C43" s="14" t="s">
        <v>29</v>
      </c>
      <c r="D43" s="15">
        <v>45472</v>
      </c>
      <c r="E43" s="14" t="s">
        <v>33</v>
      </c>
      <c r="F43" s="16">
        <v>15</v>
      </c>
      <c r="G43" s="14" t="s">
        <v>31</v>
      </c>
      <c r="H43" s="14" t="s">
        <v>30</v>
      </c>
      <c r="I43" s="16">
        <v>30</v>
      </c>
      <c r="J43" s="14" t="s">
        <v>30</v>
      </c>
      <c r="K43" s="16">
        <v>20</v>
      </c>
      <c r="L43" s="16">
        <v>20</v>
      </c>
      <c r="M43" s="17">
        <v>45</v>
      </c>
    </row>
    <row r="44" spans="1:13">
      <c r="A44" s="13">
        <v>3358</v>
      </c>
      <c r="B44" s="14" t="s">
        <v>75</v>
      </c>
      <c r="C44" s="14" t="s">
        <v>29</v>
      </c>
      <c r="D44" s="15">
        <v>45475</v>
      </c>
      <c r="E44" s="14" t="s">
        <v>30</v>
      </c>
      <c r="F44" s="16">
        <v>15</v>
      </c>
      <c r="G44" s="14" t="s">
        <v>38</v>
      </c>
      <c r="H44" s="14" t="s">
        <v>30</v>
      </c>
      <c r="I44" s="16">
        <v>30</v>
      </c>
      <c r="J44" s="14" t="s">
        <v>30</v>
      </c>
      <c r="K44" s="16">
        <v>20</v>
      </c>
      <c r="L44" s="16">
        <v>3</v>
      </c>
      <c r="M44" s="17">
        <v>62</v>
      </c>
    </row>
    <row r="45" spans="1:13">
      <c r="A45" s="13">
        <v>3361</v>
      </c>
      <c r="B45" s="14" t="s">
        <v>76</v>
      </c>
      <c r="C45" s="14" t="s">
        <v>29</v>
      </c>
      <c r="D45" s="15">
        <v>45478</v>
      </c>
      <c r="E45" s="14" t="s">
        <v>33</v>
      </c>
      <c r="F45" s="16">
        <v>15</v>
      </c>
      <c r="G45" s="14" t="s">
        <v>31</v>
      </c>
      <c r="H45" s="14" t="s">
        <v>30</v>
      </c>
      <c r="I45" s="16">
        <v>30</v>
      </c>
      <c r="J45" s="14" t="s">
        <v>30</v>
      </c>
      <c r="K45" s="16">
        <v>20</v>
      </c>
      <c r="L45" s="16">
        <v>15</v>
      </c>
      <c r="M45" s="17">
        <v>50</v>
      </c>
    </row>
    <row r="46" spans="1:13">
      <c r="A46" s="13">
        <v>3364</v>
      </c>
      <c r="B46" s="14" t="s">
        <v>77</v>
      </c>
      <c r="C46" s="14" t="s">
        <v>29</v>
      </c>
      <c r="D46" s="15">
        <v>45481</v>
      </c>
      <c r="E46" s="14" t="s">
        <v>30</v>
      </c>
      <c r="F46" s="16">
        <v>15</v>
      </c>
      <c r="G46" s="14" t="s">
        <v>35</v>
      </c>
      <c r="H46" s="14" t="s">
        <v>30</v>
      </c>
      <c r="I46" s="16">
        <v>30</v>
      </c>
      <c r="J46" s="14" t="s">
        <v>30</v>
      </c>
      <c r="K46" s="16">
        <v>20</v>
      </c>
      <c r="L46" s="16">
        <v>7</v>
      </c>
      <c r="M46" s="17">
        <v>58</v>
      </c>
    </row>
    <row r="47" spans="1:13">
      <c r="A47" s="13">
        <v>3367</v>
      </c>
      <c r="B47" s="14" t="s">
        <v>78</v>
      </c>
      <c r="C47" s="14" t="s">
        <v>29</v>
      </c>
      <c r="D47" s="15">
        <v>45484</v>
      </c>
      <c r="E47" s="14" t="s">
        <v>33</v>
      </c>
      <c r="F47" s="16">
        <v>15</v>
      </c>
      <c r="G47" s="14" t="s">
        <v>35</v>
      </c>
      <c r="H47" s="14" t="s">
        <v>30</v>
      </c>
      <c r="I47" s="16">
        <v>30</v>
      </c>
      <c r="J47" s="14" t="s">
        <v>30</v>
      </c>
      <c r="K47" s="16">
        <v>20</v>
      </c>
      <c r="L47" s="16">
        <v>7</v>
      </c>
      <c r="M47" s="17">
        <v>58</v>
      </c>
    </row>
    <row r="48" spans="1:13">
      <c r="A48" s="13">
        <v>3370</v>
      </c>
      <c r="B48" s="14" t="s">
        <v>79</v>
      </c>
      <c r="C48" s="14" t="s">
        <v>29</v>
      </c>
      <c r="D48" s="15">
        <v>45487</v>
      </c>
      <c r="E48" s="14" t="s">
        <v>30</v>
      </c>
      <c r="F48" s="16">
        <v>15</v>
      </c>
      <c r="G48" s="14" t="s">
        <v>31</v>
      </c>
      <c r="H48" s="14" t="s">
        <v>30</v>
      </c>
      <c r="I48" s="16">
        <v>30</v>
      </c>
      <c r="J48" s="14" t="s">
        <v>30</v>
      </c>
      <c r="K48" s="16">
        <v>20</v>
      </c>
      <c r="L48" s="16">
        <v>15</v>
      </c>
      <c r="M48" s="17">
        <v>50</v>
      </c>
    </row>
    <row r="49" spans="1:13">
      <c r="A49" s="13">
        <v>3373</v>
      </c>
      <c r="B49" s="14" t="s">
        <v>80</v>
      </c>
      <c r="C49" s="14" t="s">
        <v>29</v>
      </c>
      <c r="D49" s="15">
        <v>45490</v>
      </c>
      <c r="E49" s="14" t="s">
        <v>33</v>
      </c>
      <c r="F49" s="16">
        <v>15</v>
      </c>
      <c r="G49" s="14" t="s">
        <v>35</v>
      </c>
      <c r="H49" s="14" t="s">
        <v>30</v>
      </c>
      <c r="I49" s="16">
        <v>30</v>
      </c>
      <c r="J49" s="14" t="s">
        <v>30</v>
      </c>
      <c r="K49" s="16">
        <v>20</v>
      </c>
      <c r="L49" s="16">
        <v>20</v>
      </c>
      <c r="M49" s="17">
        <v>45</v>
      </c>
    </row>
    <row r="50" spans="1:13">
      <c r="A50" s="13">
        <v>3376</v>
      </c>
      <c r="B50" s="14" t="s">
        <v>81</v>
      </c>
      <c r="C50" s="14" t="s">
        <v>29</v>
      </c>
      <c r="D50" s="15">
        <v>45493</v>
      </c>
      <c r="E50" s="14" t="s">
        <v>30</v>
      </c>
      <c r="F50" s="16">
        <v>15</v>
      </c>
      <c r="G50" s="14" t="s">
        <v>38</v>
      </c>
      <c r="H50" s="14" t="s">
        <v>30</v>
      </c>
      <c r="I50" s="16">
        <v>30</v>
      </c>
      <c r="J50" s="14" t="s">
        <v>30</v>
      </c>
      <c r="K50" s="16">
        <v>20</v>
      </c>
      <c r="L50" s="16">
        <v>5</v>
      </c>
      <c r="M50" s="17">
        <v>60</v>
      </c>
    </row>
    <row r="51" spans="1:13">
      <c r="A51" s="13">
        <v>3379</v>
      </c>
      <c r="B51" s="14" t="s">
        <v>82</v>
      </c>
      <c r="C51" s="14" t="s">
        <v>29</v>
      </c>
      <c r="D51" s="15">
        <v>45496</v>
      </c>
      <c r="E51" s="14" t="s">
        <v>33</v>
      </c>
      <c r="F51" s="16">
        <v>15</v>
      </c>
      <c r="G51" s="14" t="s">
        <v>31</v>
      </c>
      <c r="H51" s="14" t="s">
        <v>30</v>
      </c>
      <c r="I51" s="16">
        <v>30</v>
      </c>
      <c r="J51" s="14" t="s">
        <v>30</v>
      </c>
      <c r="K51" s="16">
        <v>20</v>
      </c>
      <c r="L51" s="16">
        <v>3</v>
      </c>
      <c r="M51" s="17">
        <v>62</v>
      </c>
    </row>
    <row r="52" spans="1:13">
      <c r="A52" s="13">
        <v>3382</v>
      </c>
      <c r="B52" s="14" t="s">
        <v>83</v>
      </c>
      <c r="C52" s="14" t="s">
        <v>29</v>
      </c>
      <c r="D52" s="15">
        <v>45499</v>
      </c>
      <c r="E52" s="14" t="s">
        <v>30</v>
      </c>
      <c r="F52" s="16">
        <v>15</v>
      </c>
      <c r="G52" s="14" t="s">
        <v>35</v>
      </c>
      <c r="H52" s="14" t="s">
        <v>30</v>
      </c>
      <c r="I52" s="16">
        <v>30</v>
      </c>
      <c r="J52" s="14" t="s">
        <v>30</v>
      </c>
      <c r="K52" s="16">
        <v>20</v>
      </c>
      <c r="L52" s="16">
        <v>7</v>
      </c>
      <c r="M52" s="17">
        <v>58</v>
      </c>
    </row>
    <row r="53" spans="1:13">
      <c r="A53" s="13">
        <v>3385</v>
      </c>
      <c r="B53" s="14" t="s">
        <v>84</v>
      </c>
      <c r="C53" s="14" t="s">
        <v>29</v>
      </c>
      <c r="D53" s="15">
        <v>45502</v>
      </c>
      <c r="E53" s="14" t="s">
        <v>33</v>
      </c>
      <c r="F53" s="16">
        <v>15</v>
      </c>
      <c r="G53" s="14" t="s">
        <v>31</v>
      </c>
      <c r="H53" s="14" t="s">
        <v>30</v>
      </c>
      <c r="I53" s="16">
        <v>30</v>
      </c>
      <c r="J53" s="14" t="s">
        <v>30</v>
      </c>
      <c r="K53" s="16">
        <v>20</v>
      </c>
      <c r="L53" s="16">
        <v>20</v>
      </c>
      <c r="M53" s="17">
        <v>45</v>
      </c>
    </row>
    <row r="54" spans="1:13">
      <c r="A54" s="13">
        <v>3388</v>
      </c>
      <c r="B54" s="14" t="s">
        <v>85</v>
      </c>
      <c r="C54" s="14" t="s">
        <v>29</v>
      </c>
      <c r="D54" s="15">
        <v>45505</v>
      </c>
      <c r="E54" s="14" t="s">
        <v>30</v>
      </c>
      <c r="F54" s="16">
        <v>15</v>
      </c>
      <c r="G54" s="14" t="s">
        <v>38</v>
      </c>
      <c r="H54" s="14" t="s">
        <v>30</v>
      </c>
      <c r="I54" s="16">
        <v>30</v>
      </c>
      <c r="J54" s="14" t="s">
        <v>30</v>
      </c>
      <c r="K54" s="16">
        <v>20</v>
      </c>
      <c r="L54" s="16">
        <v>3</v>
      </c>
      <c r="M54" s="17">
        <v>62</v>
      </c>
    </row>
    <row r="55" spans="1:13">
      <c r="A55" s="13">
        <v>3391</v>
      </c>
      <c r="B55" s="14" t="s">
        <v>86</v>
      </c>
      <c r="C55" s="14" t="s">
        <v>29</v>
      </c>
      <c r="D55" s="15">
        <v>45508</v>
      </c>
      <c r="E55" s="14" t="s">
        <v>33</v>
      </c>
      <c r="F55" s="16">
        <v>15</v>
      </c>
      <c r="G55" s="14" t="s">
        <v>31</v>
      </c>
      <c r="H55" s="14" t="s">
        <v>30</v>
      </c>
      <c r="I55" s="16">
        <v>30</v>
      </c>
      <c r="J55" s="14" t="s">
        <v>30</v>
      </c>
      <c r="K55" s="16">
        <v>20</v>
      </c>
      <c r="L55" s="16">
        <v>15</v>
      </c>
      <c r="M55" s="17">
        <v>50</v>
      </c>
    </row>
    <row r="56" spans="1:13">
      <c r="A56" s="13">
        <v>3394</v>
      </c>
      <c r="B56" s="14" t="s">
        <v>87</v>
      </c>
      <c r="C56" s="14" t="s">
        <v>29</v>
      </c>
      <c r="D56" s="15">
        <v>45511</v>
      </c>
      <c r="E56" s="14" t="s">
        <v>30</v>
      </c>
      <c r="F56" s="16">
        <v>15</v>
      </c>
      <c r="G56" s="14" t="s">
        <v>35</v>
      </c>
      <c r="H56" s="14" t="s">
        <v>30</v>
      </c>
      <c r="I56" s="16">
        <v>30</v>
      </c>
      <c r="J56" s="14" t="s">
        <v>30</v>
      </c>
      <c r="K56" s="16">
        <v>20</v>
      </c>
      <c r="L56" s="16">
        <v>7</v>
      </c>
      <c r="M56" s="17">
        <v>58</v>
      </c>
    </row>
    <row r="57" spans="1:13">
      <c r="A57" s="13">
        <v>3397</v>
      </c>
      <c r="B57" s="14" t="s">
        <v>64</v>
      </c>
      <c r="C57" s="14" t="s">
        <v>29</v>
      </c>
      <c r="D57" s="15">
        <v>45514</v>
      </c>
      <c r="E57" s="14" t="s">
        <v>33</v>
      </c>
      <c r="F57" s="16">
        <v>15</v>
      </c>
      <c r="G57" s="14" t="s">
        <v>31</v>
      </c>
      <c r="H57" s="14" t="s">
        <v>30</v>
      </c>
      <c r="I57" s="16">
        <v>30</v>
      </c>
      <c r="J57" s="14" t="s">
        <v>30</v>
      </c>
      <c r="K57" s="16">
        <v>20</v>
      </c>
      <c r="L57" s="16">
        <v>20</v>
      </c>
      <c r="M57" s="17">
        <v>45</v>
      </c>
    </row>
    <row r="58" spans="1:13">
      <c r="A58" s="13">
        <v>3400</v>
      </c>
      <c r="B58" s="14" t="s">
        <v>88</v>
      </c>
      <c r="C58" s="14" t="s">
        <v>29</v>
      </c>
      <c r="D58" s="15">
        <v>45517</v>
      </c>
      <c r="E58" s="14" t="s">
        <v>30</v>
      </c>
      <c r="F58" s="16">
        <v>15</v>
      </c>
      <c r="G58" s="14" t="s">
        <v>38</v>
      </c>
      <c r="H58" s="14" t="s">
        <v>30</v>
      </c>
      <c r="I58" s="16">
        <v>30</v>
      </c>
      <c r="J58" s="14" t="s">
        <v>30</v>
      </c>
      <c r="K58" s="16">
        <v>20</v>
      </c>
      <c r="L58" s="16">
        <v>5</v>
      </c>
      <c r="M58" s="17">
        <v>60</v>
      </c>
    </row>
    <row r="59" spans="1:13">
      <c r="A59" s="13">
        <v>3403</v>
      </c>
      <c r="B59" s="14" t="s">
        <v>89</v>
      </c>
      <c r="C59" s="14" t="s">
        <v>29</v>
      </c>
      <c r="D59" s="15">
        <v>45520</v>
      </c>
      <c r="E59" s="14" t="s">
        <v>33</v>
      </c>
      <c r="F59" s="16">
        <v>15</v>
      </c>
      <c r="G59" s="14" t="s">
        <v>31</v>
      </c>
      <c r="H59" s="14" t="s">
        <v>30</v>
      </c>
      <c r="I59" s="16">
        <v>30</v>
      </c>
      <c r="J59" s="14" t="s">
        <v>30</v>
      </c>
      <c r="K59" s="16">
        <v>20</v>
      </c>
      <c r="L59" s="16">
        <v>3</v>
      </c>
      <c r="M59" s="17">
        <v>62</v>
      </c>
    </row>
    <row r="60" spans="1:13">
      <c r="A60" s="13">
        <v>3407</v>
      </c>
      <c r="B60" s="14" t="s">
        <v>90</v>
      </c>
      <c r="C60" s="14" t="s">
        <v>29</v>
      </c>
      <c r="D60" s="15">
        <v>45524</v>
      </c>
      <c r="E60" s="14" t="s">
        <v>33</v>
      </c>
      <c r="F60" s="16">
        <v>15</v>
      </c>
      <c r="G60" s="14" t="s">
        <v>35</v>
      </c>
      <c r="H60" s="14" t="s">
        <v>30</v>
      </c>
      <c r="I60" s="16">
        <v>30</v>
      </c>
      <c r="J60" s="14" t="s">
        <v>30</v>
      </c>
      <c r="K60" s="16">
        <v>20</v>
      </c>
      <c r="L60" s="16">
        <v>7</v>
      </c>
      <c r="M60" s="17">
        <v>58</v>
      </c>
    </row>
    <row r="61" spans="1:13">
      <c r="A61" s="13">
        <v>3410</v>
      </c>
      <c r="B61" s="14" t="s">
        <v>91</v>
      </c>
      <c r="C61" s="14" t="s">
        <v>29</v>
      </c>
      <c r="D61" s="15">
        <v>45527</v>
      </c>
      <c r="E61" s="14" t="s">
        <v>30</v>
      </c>
      <c r="F61" s="16">
        <v>15</v>
      </c>
      <c r="G61" s="14" t="s">
        <v>31</v>
      </c>
      <c r="H61" s="14" t="s">
        <v>30</v>
      </c>
      <c r="I61" s="16">
        <v>30</v>
      </c>
      <c r="J61" s="14" t="s">
        <v>30</v>
      </c>
      <c r="K61" s="16">
        <v>20</v>
      </c>
      <c r="L61" s="16">
        <v>15</v>
      </c>
      <c r="M61" s="17">
        <v>50</v>
      </c>
    </row>
    <row r="62" spans="1:13">
      <c r="A62" s="13">
        <v>3413</v>
      </c>
      <c r="B62" s="14" t="s">
        <v>92</v>
      </c>
      <c r="C62" s="14" t="s">
        <v>29</v>
      </c>
      <c r="D62" s="15">
        <v>45530</v>
      </c>
      <c r="E62" s="14" t="s">
        <v>33</v>
      </c>
      <c r="F62" s="16">
        <v>15</v>
      </c>
      <c r="G62" s="14" t="s">
        <v>35</v>
      </c>
      <c r="H62" s="14" t="s">
        <v>30</v>
      </c>
      <c r="I62" s="16">
        <v>30</v>
      </c>
      <c r="J62" s="14" t="s">
        <v>30</v>
      </c>
      <c r="K62" s="16">
        <v>20</v>
      </c>
      <c r="L62" s="16">
        <v>20</v>
      </c>
      <c r="M62" s="17">
        <v>45</v>
      </c>
    </row>
    <row r="63" spans="1:13">
      <c r="A63" s="13">
        <v>3416</v>
      </c>
      <c r="B63" s="14" t="s">
        <v>93</v>
      </c>
      <c r="C63" s="14" t="s">
        <v>29</v>
      </c>
      <c r="D63" s="15">
        <v>45533</v>
      </c>
      <c r="E63" s="14" t="s">
        <v>30</v>
      </c>
      <c r="F63" s="16">
        <v>15</v>
      </c>
      <c r="G63" s="14" t="s">
        <v>38</v>
      </c>
      <c r="H63" s="14" t="s">
        <v>30</v>
      </c>
      <c r="I63" s="16">
        <v>30</v>
      </c>
      <c r="J63" s="14" t="s">
        <v>30</v>
      </c>
      <c r="K63" s="16">
        <v>20</v>
      </c>
      <c r="L63" s="16">
        <v>5</v>
      </c>
      <c r="M63" s="17">
        <v>60</v>
      </c>
    </row>
    <row r="64" spans="1:13">
      <c r="A64" s="13">
        <v>3419</v>
      </c>
      <c r="B64" s="14" t="s">
        <v>94</v>
      </c>
      <c r="C64" s="14" t="s">
        <v>29</v>
      </c>
      <c r="D64" s="15">
        <v>45536</v>
      </c>
      <c r="E64" s="14" t="s">
        <v>33</v>
      </c>
      <c r="F64" s="16">
        <v>15</v>
      </c>
      <c r="G64" s="14" t="s">
        <v>31</v>
      </c>
      <c r="H64" s="14" t="s">
        <v>30</v>
      </c>
      <c r="I64" s="16">
        <v>30</v>
      </c>
      <c r="J64" s="14" t="s">
        <v>30</v>
      </c>
      <c r="K64" s="16">
        <v>20</v>
      </c>
      <c r="L64" s="16">
        <v>3</v>
      </c>
      <c r="M64" s="17">
        <v>62</v>
      </c>
    </row>
    <row r="65" spans="1:13">
      <c r="A65" s="13">
        <v>3422</v>
      </c>
      <c r="B65" s="14" t="s">
        <v>95</v>
      </c>
      <c r="C65" s="14" t="s">
        <v>29</v>
      </c>
      <c r="D65" s="15">
        <v>45539</v>
      </c>
      <c r="E65" s="14" t="s">
        <v>30</v>
      </c>
      <c r="F65" s="16">
        <v>15</v>
      </c>
      <c r="G65" s="14" t="s">
        <v>35</v>
      </c>
      <c r="H65" s="14" t="s">
        <v>30</v>
      </c>
      <c r="I65" s="16">
        <v>30</v>
      </c>
      <c r="J65" s="14" t="s">
        <v>30</v>
      </c>
      <c r="K65" s="16">
        <v>20</v>
      </c>
      <c r="L65" s="16">
        <v>7</v>
      </c>
      <c r="M65" s="17">
        <v>58</v>
      </c>
    </row>
    <row r="66" spans="1:13">
      <c r="A66" s="13">
        <v>3425</v>
      </c>
      <c r="B66" s="14" t="s">
        <v>96</v>
      </c>
      <c r="C66" s="14" t="s">
        <v>29</v>
      </c>
      <c r="D66" s="15">
        <v>45542</v>
      </c>
      <c r="E66" s="14" t="s">
        <v>33</v>
      </c>
      <c r="F66" s="16">
        <v>15</v>
      </c>
      <c r="G66" s="14" t="s">
        <v>31</v>
      </c>
      <c r="H66" s="14" t="s">
        <v>30</v>
      </c>
      <c r="I66" s="16">
        <v>30</v>
      </c>
      <c r="J66" s="14" t="s">
        <v>30</v>
      </c>
      <c r="K66" s="16">
        <v>20</v>
      </c>
      <c r="L66" s="16">
        <v>20</v>
      </c>
      <c r="M66" s="17">
        <v>45</v>
      </c>
    </row>
    <row r="67" spans="1:13">
      <c r="A67" s="13">
        <v>3428</v>
      </c>
      <c r="B67" s="14" t="s">
        <v>97</v>
      </c>
      <c r="C67" s="14" t="s">
        <v>29</v>
      </c>
      <c r="D67" s="15">
        <v>45545</v>
      </c>
      <c r="E67" s="14" t="s">
        <v>30</v>
      </c>
      <c r="F67" s="16">
        <v>15</v>
      </c>
      <c r="G67" s="14" t="s">
        <v>38</v>
      </c>
      <c r="H67" s="14" t="s">
        <v>30</v>
      </c>
      <c r="I67" s="16">
        <v>30</v>
      </c>
      <c r="J67" s="14" t="s">
        <v>30</v>
      </c>
      <c r="K67" s="16">
        <v>20</v>
      </c>
      <c r="L67" s="16">
        <v>3</v>
      </c>
      <c r="M67" s="17">
        <v>62</v>
      </c>
    </row>
    <row r="68" spans="1:13">
      <c r="A68" s="13">
        <v>3431</v>
      </c>
      <c r="B68" s="14" t="s">
        <v>98</v>
      </c>
      <c r="C68" s="14" t="s">
        <v>29</v>
      </c>
      <c r="D68" s="15">
        <v>45548</v>
      </c>
      <c r="E68" s="14" t="s">
        <v>33</v>
      </c>
      <c r="F68" s="16">
        <v>15</v>
      </c>
      <c r="G68" s="14" t="s">
        <v>31</v>
      </c>
      <c r="H68" s="14" t="s">
        <v>30</v>
      </c>
      <c r="I68" s="16">
        <v>30</v>
      </c>
      <c r="J68" s="14" t="s">
        <v>30</v>
      </c>
      <c r="K68" s="16">
        <v>20</v>
      </c>
      <c r="L68" s="16">
        <v>15</v>
      </c>
      <c r="M68" s="17">
        <v>50</v>
      </c>
    </row>
    <row r="69" spans="1:13">
      <c r="A69" s="13">
        <v>3434</v>
      </c>
      <c r="B69" s="14" t="s">
        <v>99</v>
      </c>
      <c r="C69" s="14" t="s">
        <v>29</v>
      </c>
      <c r="D69" s="15">
        <v>45551</v>
      </c>
      <c r="E69" s="14" t="s">
        <v>30</v>
      </c>
      <c r="F69" s="16">
        <v>15</v>
      </c>
      <c r="G69" s="14" t="s">
        <v>35</v>
      </c>
      <c r="H69" s="14" t="s">
        <v>30</v>
      </c>
      <c r="I69" s="16">
        <v>30</v>
      </c>
      <c r="J69" s="14" t="s">
        <v>30</v>
      </c>
      <c r="K69" s="16">
        <v>20</v>
      </c>
      <c r="L69" s="16">
        <v>7</v>
      </c>
      <c r="M69" s="17">
        <v>58</v>
      </c>
    </row>
    <row r="70" spans="1:13">
      <c r="A70" s="13">
        <v>3437</v>
      </c>
      <c r="B70" s="14" t="s">
        <v>100</v>
      </c>
      <c r="C70" s="14" t="s">
        <v>29</v>
      </c>
      <c r="D70" s="15">
        <v>45554</v>
      </c>
      <c r="E70" s="14" t="s">
        <v>33</v>
      </c>
      <c r="F70" s="16">
        <v>15</v>
      </c>
      <c r="G70" s="14" t="s">
        <v>35</v>
      </c>
      <c r="H70" s="14" t="s">
        <v>30</v>
      </c>
      <c r="I70" s="16">
        <v>30</v>
      </c>
      <c r="J70" s="14" t="s">
        <v>30</v>
      </c>
      <c r="K70" s="16">
        <v>20</v>
      </c>
      <c r="L70" s="16">
        <v>7</v>
      </c>
      <c r="M70" s="17">
        <v>58</v>
      </c>
    </row>
    <row r="71" spans="1:13">
      <c r="A71" s="13">
        <v>3440</v>
      </c>
      <c r="B71" s="14" t="s">
        <v>101</v>
      </c>
      <c r="C71" s="14" t="s">
        <v>29</v>
      </c>
      <c r="D71" s="15">
        <v>45557</v>
      </c>
      <c r="E71" s="14" t="s">
        <v>30</v>
      </c>
      <c r="F71" s="16">
        <v>15</v>
      </c>
      <c r="G71" s="14" t="s">
        <v>31</v>
      </c>
      <c r="H71" s="14" t="s">
        <v>30</v>
      </c>
      <c r="I71" s="16">
        <v>30</v>
      </c>
      <c r="J71" s="14" t="s">
        <v>30</v>
      </c>
      <c r="K71" s="16">
        <v>20</v>
      </c>
      <c r="L71" s="16">
        <v>15</v>
      </c>
      <c r="M71" s="17">
        <v>50</v>
      </c>
    </row>
    <row r="72" spans="1:13">
      <c r="A72" s="13">
        <v>3443</v>
      </c>
      <c r="B72" s="14" t="s">
        <v>102</v>
      </c>
      <c r="C72" s="14" t="s">
        <v>29</v>
      </c>
      <c r="D72" s="15">
        <v>45560</v>
      </c>
      <c r="E72" s="14" t="s">
        <v>33</v>
      </c>
      <c r="F72" s="16">
        <v>15</v>
      </c>
      <c r="G72" s="14" t="s">
        <v>35</v>
      </c>
      <c r="H72" s="14" t="s">
        <v>30</v>
      </c>
      <c r="I72" s="16">
        <v>30</v>
      </c>
      <c r="J72" s="14" t="s">
        <v>30</v>
      </c>
      <c r="K72" s="16">
        <v>20</v>
      </c>
      <c r="L72" s="16">
        <v>20</v>
      </c>
      <c r="M72" s="17">
        <v>45</v>
      </c>
    </row>
    <row r="73" spans="1:13">
      <c r="A73" s="13">
        <v>3446</v>
      </c>
      <c r="B73" s="14" t="s">
        <v>103</v>
      </c>
      <c r="C73" s="14" t="s">
        <v>29</v>
      </c>
      <c r="D73" s="15">
        <v>45563</v>
      </c>
      <c r="E73" s="14" t="s">
        <v>30</v>
      </c>
      <c r="F73" s="16">
        <v>15</v>
      </c>
      <c r="G73" s="14" t="s">
        <v>38</v>
      </c>
      <c r="H73" s="14" t="s">
        <v>30</v>
      </c>
      <c r="I73" s="16">
        <v>30</v>
      </c>
      <c r="J73" s="14" t="s">
        <v>30</v>
      </c>
      <c r="K73" s="16">
        <v>20</v>
      </c>
      <c r="L73" s="16">
        <v>5</v>
      </c>
      <c r="M73" s="17">
        <v>60</v>
      </c>
    </row>
    <row r="74" spans="1:13">
      <c r="A74" s="13">
        <v>3449</v>
      </c>
      <c r="B74" s="14" t="s">
        <v>104</v>
      </c>
      <c r="C74" s="14" t="s">
        <v>29</v>
      </c>
      <c r="D74" s="15">
        <v>45566</v>
      </c>
      <c r="E74" s="14" t="s">
        <v>33</v>
      </c>
      <c r="F74" s="16">
        <v>15</v>
      </c>
      <c r="G74" s="14" t="s">
        <v>31</v>
      </c>
      <c r="H74" s="14" t="s">
        <v>30</v>
      </c>
      <c r="I74" s="16">
        <v>30</v>
      </c>
      <c r="J74" s="14" t="s">
        <v>30</v>
      </c>
      <c r="K74" s="16">
        <v>20</v>
      </c>
      <c r="L74" s="16">
        <v>3</v>
      </c>
      <c r="M74" s="17">
        <v>62</v>
      </c>
    </row>
    <row r="75" spans="1:13">
      <c r="A75" s="13">
        <v>3452</v>
      </c>
      <c r="B75" s="14" t="s">
        <v>97</v>
      </c>
      <c r="C75" s="14" t="s">
        <v>29</v>
      </c>
      <c r="D75" s="15">
        <v>45569</v>
      </c>
      <c r="E75" s="14" t="s">
        <v>30</v>
      </c>
      <c r="F75" s="16">
        <v>15</v>
      </c>
      <c r="G75" s="14" t="s">
        <v>35</v>
      </c>
      <c r="H75" s="14" t="s">
        <v>30</v>
      </c>
      <c r="I75" s="16">
        <v>30</v>
      </c>
      <c r="J75" s="14" t="s">
        <v>30</v>
      </c>
      <c r="K75" s="16">
        <v>20</v>
      </c>
      <c r="L75" s="16">
        <v>7</v>
      </c>
      <c r="M75" s="17">
        <v>58</v>
      </c>
    </row>
    <row r="76" spans="1:13">
      <c r="A76" s="13">
        <v>3455</v>
      </c>
      <c r="B76" s="14" t="s">
        <v>105</v>
      </c>
      <c r="C76" s="14" t="s">
        <v>29</v>
      </c>
      <c r="D76" s="15">
        <v>45572</v>
      </c>
      <c r="E76" s="14" t="s">
        <v>33</v>
      </c>
      <c r="F76" s="16">
        <v>15</v>
      </c>
      <c r="G76" s="14" t="s">
        <v>31</v>
      </c>
      <c r="H76" s="14" t="s">
        <v>30</v>
      </c>
      <c r="I76" s="16">
        <v>30</v>
      </c>
      <c r="J76" s="14" t="s">
        <v>30</v>
      </c>
      <c r="K76" s="16">
        <v>20</v>
      </c>
      <c r="L76" s="16">
        <v>20</v>
      </c>
      <c r="M76" s="17">
        <v>45</v>
      </c>
    </row>
    <row r="77" spans="1:13">
      <c r="A77" s="13">
        <v>3458</v>
      </c>
      <c r="B77" s="14" t="s">
        <v>106</v>
      </c>
      <c r="C77" s="14" t="s">
        <v>29</v>
      </c>
      <c r="D77" s="15">
        <v>45575</v>
      </c>
      <c r="E77" s="14" t="s">
        <v>30</v>
      </c>
      <c r="F77" s="16">
        <v>15</v>
      </c>
      <c r="G77" s="14" t="s">
        <v>38</v>
      </c>
      <c r="H77" s="14" t="s">
        <v>30</v>
      </c>
      <c r="I77" s="16">
        <v>30</v>
      </c>
      <c r="J77" s="14" t="s">
        <v>30</v>
      </c>
      <c r="K77" s="16">
        <v>20</v>
      </c>
      <c r="L77" s="16">
        <v>3</v>
      </c>
      <c r="M77" s="17">
        <v>62</v>
      </c>
    </row>
    <row r="78" spans="1:13">
      <c r="A78" s="13">
        <v>3461</v>
      </c>
      <c r="B78" s="14" t="s">
        <v>107</v>
      </c>
      <c r="C78" s="14" t="s">
        <v>29</v>
      </c>
      <c r="D78" s="15">
        <v>45578</v>
      </c>
      <c r="E78" s="14" t="s">
        <v>33</v>
      </c>
      <c r="F78" s="16">
        <v>15</v>
      </c>
      <c r="G78" s="14" t="s">
        <v>31</v>
      </c>
      <c r="H78" s="14" t="s">
        <v>30</v>
      </c>
      <c r="I78" s="16">
        <v>30</v>
      </c>
      <c r="J78" s="14" t="s">
        <v>30</v>
      </c>
      <c r="K78" s="16">
        <v>20</v>
      </c>
      <c r="L78" s="16">
        <v>15</v>
      </c>
      <c r="M78" s="17">
        <v>50</v>
      </c>
    </row>
    <row r="79" spans="1:13">
      <c r="A79" s="13">
        <v>3464</v>
      </c>
      <c r="B79" s="14" t="s">
        <v>108</v>
      </c>
      <c r="C79" s="14" t="s">
        <v>29</v>
      </c>
      <c r="D79" s="15">
        <v>45581</v>
      </c>
      <c r="E79" s="14" t="s">
        <v>30</v>
      </c>
      <c r="F79" s="16">
        <v>15</v>
      </c>
      <c r="G79" s="14" t="s">
        <v>35</v>
      </c>
      <c r="H79" s="14" t="s">
        <v>30</v>
      </c>
      <c r="I79" s="16">
        <v>30</v>
      </c>
      <c r="J79" s="14" t="s">
        <v>30</v>
      </c>
      <c r="K79" s="16">
        <v>20</v>
      </c>
      <c r="L79" s="16">
        <v>7</v>
      </c>
      <c r="M79" s="17">
        <v>58</v>
      </c>
    </row>
    <row r="80" spans="1:13">
      <c r="A80" s="13">
        <v>3467</v>
      </c>
      <c r="B80" s="14" t="s">
        <v>109</v>
      </c>
      <c r="C80" s="14" t="s">
        <v>29</v>
      </c>
      <c r="D80" s="15">
        <v>45584</v>
      </c>
      <c r="E80" s="14" t="s">
        <v>33</v>
      </c>
      <c r="F80" s="16">
        <v>15</v>
      </c>
      <c r="G80" s="14" t="s">
        <v>31</v>
      </c>
      <c r="H80" s="14" t="s">
        <v>30</v>
      </c>
      <c r="I80" s="16">
        <v>30</v>
      </c>
      <c r="J80" s="14" t="s">
        <v>30</v>
      </c>
      <c r="K80" s="16">
        <v>20</v>
      </c>
      <c r="L80" s="16">
        <v>15</v>
      </c>
      <c r="M80" s="17">
        <v>50</v>
      </c>
    </row>
    <row r="81" spans="1:13">
      <c r="A81" s="13">
        <v>3470</v>
      </c>
      <c r="B81" s="14" t="s">
        <v>110</v>
      </c>
      <c r="C81" s="14" t="s">
        <v>29</v>
      </c>
      <c r="D81" s="15">
        <v>45587</v>
      </c>
      <c r="E81" s="14" t="s">
        <v>30</v>
      </c>
      <c r="F81" s="16">
        <v>15</v>
      </c>
      <c r="G81" s="14" t="s">
        <v>38</v>
      </c>
      <c r="H81" s="14" t="s">
        <v>30</v>
      </c>
      <c r="I81" s="16">
        <v>30</v>
      </c>
      <c r="J81" s="14" t="s">
        <v>30</v>
      </c>
      <c r="K81" s="16">
        <v>20</v>
      </c>
      <c r="L81" s="16">
        <v>5</v>
      </c>
      <c r="M81" s="17">
        <v>60</v>
      </c>
    </row>
    <row r="82" spans="1:13">
      <c r="A82" s="13">
        <v>3473</v>
      </c>
      <c r="B82" s="14" t="s">
        <v>111</v>
      </c>
      <c r="C82" s="14" t="s">
        <v>29</v>
      </c>
      <c r="D82" s="15">
        <v>45590</v>
      </c>
      <c r="E82" s="14" t="s">
        <v>33</v>
      </c>
      <c r="F82" s="16">
        <v>15</v>
      </c>
      <c r="G82" s="14" t="s">
        <v>31</v>
      </c>
      <c r="H82" s="14" t="s">
        <v>30</v>
      </c>
      <c r="I82" s="16">
        <v>30</v>
      </c>
      <c r="J82" s="14" t="s">
        <v>30</v>
      </c>
      <c r="K82" s="16">
        <v>20</v>
      </c>
      <c r="L82" s="16">
        <v>3</v>
      </c>
      <c r="M82" s="17">
        <v>62</v>
      </c>
    </row>
    <row r="83" spans="1:13">
      <c r="A83" s="13">
        <v>3476</v>
      </c>
      <c r="B83" s="14" t="s">
        <v>112</v>
      </c>
      <c r="C83" s="14" t="s">
        <v>29</v>
      </c>
      <c r="D83" s="15">
        <v>45593</v>
      </c>
      <c r="E83" s="14" t="s">
        <v>30</v>
      </c>
      <c r="F83" s="16">
        <v>15</v>
      </c>
      <c r="G83" s="14" t="s">
        <v>35</v>
      </c>
      <c r="H83" s="14" t="s">
        <v>30</v>
      </c>
      <c r="I83" s="16">
        <v>30</v>
      </c>
      <c r="J83" s="14" t="s">
        <v>30</v>
      </c>
      <c r="K83" s="16">
        <v>20</v>
      </c>
      <c r="L83" s="16">
        <v>7</v>
      </c>
      <c r="M83" s="17">
        <v>58</v>
      </c>
    </row>
    <row r="84" spans="1:13">
      <c r="A84" s="13">
        <v>3479</v>
      </c>
      <c r="B84" s="14" t="s">
        <v>113</v>
      </c>
      <c r="C84" s="14" t="s">
        <v>29</v>
      </c>
      <c r="D84" s="15">
        <v>45596</v>
      </c>
      <c r="E84" s="14" t="s">
        <v>33</v>
      </c>
      <c r="F84" s="16">
        <v>15</v>
      </c>
      <c r="G84" s="14" t="s">
        <v>31</v>
      </c>
      <c r="H84" s="14" t="s">
        <v>30</v>
      </c>
      <c r="I84" s="16">
        <v>30</v>
      </c>
      <c r="J84" s="14" t="s">
        <v>30</v>
      </c>
      <c r="K84" s="16">
        <v>20</v>
      </c>
      <c r="L84" s="16">
        <v>20</v>
      </c>
      <c r="M84" s="17">
        <v>45</v>
      </c>
    </row>
    <row r="85" spans="1:13">
      <c r="A85" s="13">
        <v>3482</v>
      </c>
      <c r="B85" s="14" t="s">
        <v>114</v>
      </c>
      <c r="C85" s="14" t="s">
        <v>29</v>
      </c>
      <c r="D85" s="15">
        <v>45599</v>
      </c>
      <c r="E85" s="14" t="s">
        <v>30</v>
      </c>
      <c r="F85" s="16">
        <v>15</v>
      </c>
      <c r="G85" s="14" t="s">
        <v>38</v>
      </c>
      <c r="H85" s="14" t="s">
        <v>30</v>
      </c>
      <c r="I85" s="16">
        <v>30</v>
      </c>
      <c r="J85" s="14" t="s">
        <v>30</v>
      </c>
      <c r="K85" s="16">
        <v>20</v>
      </c>
      <c r="L85" s="16">
        <v>3</v>
      </c>
      <c r="M85" s="17">
        <v>62</v>
      </c>
    </row>
    <row r="86" spans="1:13">
      <c r="A86" s="13">
        <v>3485</v>
      </c>
      <c r="B86" s="14" t="s">
        <v>115</v>
      </c>
      <c r="C86" s="14" t="s">
        <v>29</v>
      </c>
      <c r="D86" s="15">
        <v>45602</v>
      </c>
      <c r="E86" s="14" t="s">
        <v>33</v>
      </c>
      <c r="F86" s="16">
        <v>15</v>
      </c>
      <c r="G86" s="14" t="s">
        <v>31</v>
      </c>
      <c r="H86" s="14" t="s">
        <v>30</v>
      </c>
      <c r="I86" s="16">
        <v>30</v>
      </c>
      <c r="J86" s="14" t="s">
        <v>30</v>
      </c>
      <c r="K86" s="16">
        <v>20</v>
      </c>
      <c r="L86" s="16">
        <v>15</v>
      </c>
      <c r="M86" s="17">
        <v>50</v>
      </c>
    </row>
    <row r="87" spans="1:13">
      <c r="A87" s="13">
        <v>3487</v>
      </c>
      <c r="B87" s="14" t="s">
        <v>116</v>
      </c>
      <c r="C87" s="14" t="s">
        <v>29</v>
      </c>
      <c r="D87" s="15">
        <v>45604</v>
      </c>
      <c r="E87" s="14" t="s">
        <v>33</v>
      </c>
      <c r="F87" s="16">
        <v>15</v>
      </c>
      <c r="G87" s="14" t="s">
        <v>35</v>
      </c>
      <c r="H87" s="14" t="s">
        <v>30</v>
      </c>
      <c r="I87" s="16">
        <v>30</v>
      </c>
      <c r="J87" s="14" t="s">
        <v>30</v>
      </c>
      <c r="K87" s="16">
        <v>20</v>
      </c>
      <c r="L87" s="16">
        <v>7</v>
      </c>
      <c r="M87" s="17">
        <v>58</v>
      </c>
    </row>
    <row r="88" spans="1:13">
      <c r="A88" s="13">
        <v>3490</v>
      </c>
      <c r="B88" s="14" t="s">
        <v>117</v>
      </c>
      <c r="C88" s="14" t="s">
        <v>29</v>
      </c>
      <c r="D88" s="15">
        <v>45607</v>
      </c>
      <c r="E88" s="14" t="s">
        <v>30</v>
      </c>
      <c r="F88" s="16">
        <v>15</v>
      </c>
      <c r="G88" s="14" t="s">
        <v>31</v>
      </c>
      <c r="H88" s="14" t="s">
        <v>30</v>
      </c>
      <c r="I88" s="16">
        <v>30</v>
      </c>
      <c r="J88" s="14" t="s">
        <v>30</v>
      </c>
      <c r="K88" s="16">
        <v>20</v>
      </c>
      <c r="L88" s="16">
        <v>15</v>
      </c>
      <c r="M88" s="17">
        <v>50</v>
      </c>
    </row>
    <row r="89" spans="1:13">
      <c r="A89" s="13">
        <v>3493</v>
      </c>
      <c r="B89" s="14" t="s">
        <v>118</v>
      </c>
      <c r="C89" s="14" t="s">
        <v>29</v>
      </c>
      <c r="D89" s="15">
        <v>45610</v>
      </c>
      <c r="E89" s="14" t="s">
        <v>33</v>
      </c>
      <c r="F89" s="16">
        <v>15</v>
      </c>
      <c r="G89" s="14" t="s">
        <v>35</v>
      </c>
      <c r="H89" s="14" t="s">
        <v>30</v>
      </c>
      <c r="I89" s="16">
        <v>30</v>
      </c>
      <c r="J89" s="14" t="s">
        <v>30</v>
      </c>
      <c r="K89" s="16">
        <v>20</v>
      </c>
      <c r="L89" s="16">
        <v>20</v>
      </c>
      <c r="M89" s="17">
        <v>45</v>
      </c>
    </row>
    <row r="90" spans="1:13">
      <c r="A90" s="13">
        <v>3496</v>
      </c>
      <c r="B90" s="14" t="s">
        <v>119</v>
      </c>
      <c r="C90" s="14" t="s">
        <v>29</v>
      </c>
      <c r="D90" s="15">
        <v>45613</v>
      </c>
      <c r="E90" s="14" t="s">
        <v>30</v>
      </c>
      <c r="F90" s="16">
        <v>15</v>
      </c>
      <c r="G90" s="14" t="s">
        <v>38</v>
      </c>
      <c r="H90" s="14" t="s">
        <v>30</v>
      </c>
      <c r="I90" s="16">
        <v>30</v>
      </c>
      <c r="J90" s="14" t="s">
        <v>30</v>
      </c>
      <c r="K90" s="16">
        <v>20</v>
      </c>
      <c r="L90" s="16">
        <v>5</v>
      </c>
      <c r="M90" s="17">
        <v>60</v>
      </c>
    </row>
    <row r="91" spans="1:13">
      <c r="A91" s="13">
        <v>3499</v>
      </c>
      <c r="B91" s="14" t="s">
        <v>120</v>
      </c>
      <c r="C91" s="14" t="s">
        <v>29</v>
      </c>
      <c r="D91" s="15">
        <v>45616</v>
      </c>
      <c r="E91" s="14" t="s">
        <v>33</v>
      </c>
      <c r="F91" s="16">
        <v>15</v>
      </c>
      <c r="G91" s="14" t="s">
        <v>31</v>
      </c>
      <c r="H91" s="14" t="s">
        <v>30</v>
      </c>
      <c r="I91" s="16">
        <v>30</v>
      </c>
      <c r="J91" s="14" t="s">
        <v>30</v>
      </c>
      <c r="K91" s="16">
        <v>20</v>
      </c>
      <c r="L91" s="16">
        <v>3</v>
      </c>
      <c r="M91" s="17">
        <v>62</v>
      </c>
    </row>
    <row r="92" spans="1:13">
      <c r="A92" s="13">
        <v>3502</v>
      </c>
      <c r="B92" s="14" t="s">
        <v>121</v>
      </c>
      <c r="C92" s="14" t="s">
        <v>29</v>
      </c>
      <c r="D92" s="15">
        <v>45619</v>
      </c>
      <c r="E92" s="14" t="s">
        <v>30</v>
      </c>
      <c r="F92" s="16">
        <v>15</v>
      </c>
      <c r="G92" s="14" t="s">
        <v>35</v>
      </c>
      <c r="H92" s="14" t="s">
        <v>30</v>
      </c>
      <c r="I92" s="16">
        <v>30</v>
      </c>
      <c r="J92" s="14" t="s">
        <v>30</v>
      </c>
      <c r="K92" s="16">
        <v>20</v>
      </c>
      <c r="L92" s="16">
        <v>7</v>
      </c>
      <c r="M92" s="17">
        <v>58</v>
      </c>
    </row>
    <row r="93" spans="1:13">
      <c r="A93" s="13">
        <v>3505</v>
      </c>
      <c r="B93" s="14" t="s">
        <v>122</v>
      </c>
      <c r="C93" s="14" t="s">
        <v>29</v>
      </c>
      <c r="D93" s="15">
        <v>45622</v>
      </c>
      <c r="E93" s="14" t="s">
        <v>33</v>
      </c>
      <c r="F93" s="16">
        <v>15</v>
      </c>
      <c r="G93" s="14" t="s">
        <v>31</v>
      </c>
      <c r="H93" s="14" t="s">
        <v>30</v>
      </c>
      <c r="I93" s="16">
        <v>30</v>
      </c>
      <c r="J93" s="14" t="s">
        <v>30</v>
      </c>
      <c r="K93" s="16">
        <v>20</v>
      </c>
      <c r="L93" s="16">
        <v>20</v>
      </c>
      <c r="M93" s="17">
        <v>45</v>
      </c>
    </row>
    <row r="94" spans="1:13">
      <c r="A94" s="13">
        <v>3508</v>
      </c>
      <c r="B94" s="14" t="s">
        <v>123</v>
      </c>
      <c r="C94" s="14" t="s">
        <v>29</v>
      </c>
      <c r="D94" s="15">
        <v>45625</v>
      </c>
      <c r="E94" s="14" t="s">
        <v>30</v>
      </c>
      <c r="F94" s="16">
        <v>15</v>
      </c>
      <c r="G94" s="14" t="s">
        <v>38</v>
      </c>
      <c r="H94" s="14" t="s">
        <v>30</v>
      </c>
      <c r="I94" s="16">
        <v>30</v>
      </c>
      <c r="J94" s="14" t="s">
        <v>30</v>
      </c>
      <c r="K94" s="16">
        <v>20</v>
      </c>
      <c r="L94" s="16">
        <v>3</v>
      </c>
      <c r="M94" s="17">
        <v>62</v>
      </c>
    </row>
    <row r="95" spans="1:13">
      <c r="A95" s="13">
        <v>3511</v>
      </c>
      <c r="B95" s="14" t="s">
        <v>124</v>
      </c>
      <c r="C95" s="14" t="s">
        <v>29</v>
      </c>
      <c r="D95" s="15">
        <v>45628</v>
      </c>
      <c r="E95" s="14" t="s">
        <v>33</v>
      </c>
      <c r="F95" s="16">
        <v>15</v>
      </c>
      <c r="G95" s="14" t="s">
        <v>31</v>
      </c>
      <c r="H95" s="14" t="s">
        <v>30</v>
      </c>
      <c r="I95" s="16">
        <v>30</v>
      </c>
      <c r="J95" s="14" t="s">
        <v>30</v>
      </c>
      <c r="K95" s="16">
        <v>20</v>
      </c>
      <c r="L95" s="16">
        <v>15</v>
      </c>
      <c r="M95" s="17">
        <v>50</v>
      </c>
    </row>
    <row r="96" spans="1:13">
      <c r="A96" s="13">
        <v>3514</v>
      </c>
      <c r="B96" s="14" t="s">
        <v>125</v>
      </c>
      <c r="C96" s="14" t="s">
        <v>29</v>
      </c>
      <c r="D96" s="15">
        <v>45631</v>
      </c>
      <c r="E96" s="14" t="s">
        <v>30</v>
      </c>
      <c r="F96" s="16">
        <v>15</v>
      </c>
      <c r="G96" s="14" t="s">
        <v>35</v>
      </c>
      <c r="H96" s="14" t="s">
        <v>30</v>
      </c>
      <c r="I96" s="16">
        <v>30</v>
      </c>
      <c r="J96" s="14" t="s">
        <v>30</v>
      </c>
      <c r="K96" s="16">
        <v>20</v>
      </c>
      <c r="L96" s="16">
        <v>7</v>
      </c>
      <c r="M96" s="17">
        <v>58</v>
      </c>
    </row>
    <row r="97" spans="1:13">
      <c r="A97" s="13">
        <v>3517</v>
      </c>
      <c r="B97" s="14" t="s">
        <v>126</v>
      </c>
      <c r="C97" s="14" t="s">
        <v>29</v>
      </c>
      <c r="D97" s="15">
        <v>45634</v>
      </c>
      <c r="E97" s="14" t="s">
        <v>33</v>
      </c>
      <c r="F97" s="16">
        <v>15</v>
      </c>
      <c r="G97" s="14" t="s">
        <v>31</v>
      </c>
      <c r="H97" s="14" t="s">
        <v>30</v>
      </c>
      <c r="I97" s="16">
        <v>30</v>
      </c>
      <c r="J97" s="14" t="s">
        <v>30</v>
      </c>
      <c r="K97" s="16">
        <v>20</v>
      </c>
      <c r="L97" s="16">
        <v>20</v>
      </c>
      <c r="M97" s="17">
        <v>45</v>
      </c>
    </row>
    <row r="98" spans="1:13">
      <c r="A98" s="13">
        <v>3520</v>
      </c>
      <c r="B98" s="14" t="s">
        <v>127</v>
      </c>
      <c r="C98" s="14" t="s">
        <v>29</v>
      </c>
      <c r="D98" s="15">
        <v>45637</v>
      </c>
      <c r="E98" s="14" t="s">
        <v>30</v>
      </c>
      <c r="F98" s="16">
        <v>15</v>
      </c>
      <c r="G98" s="14" t="s">
        <v>38</v>
      </c>
      <c r="H98" s="14" t="s">
        <v>30</v>
      </c>
      <c r="I98" s="16">
        <v>30</v>
      </c>
      <c r="J98" s="14" t="s">
        <v>30</v>
      </c>
      <c r="K98" s="16">
        <v>20</v>
      </c>
      <c r="L98" s="16">
        <v>5</v>
      </c>
      <c r="M98" s="17">
        <v>60</v>
      </c>
    </row>
    <row r="99" spans="1:13">
      <c r="A99" s="13">
        <v>3523</v>
      </c>
      <c r="B99" s="14" t="s">
        <v>128</v>
      </c>
      <c r="C99" s="14" t="s">
        <v>29</v>
      </c>
      <c r="D99" s="15">
        <v>45640</v>
      </c>
      <c r="E99" s="14" t="s">
        <v>33</v>
      </c>
      <c r="F99" s="16">
        <v>15</v>
      </c>
      <c r="G99" s="14" t="s">
        <v>31</v>
      </c>
      <c r="H99" s="14" t="s">
        <v>30</v>
      </c>
      <c r="I99" s="16">
        <v>30</v>
      </c>
      <c r="J99" s="14" t="s">
        <v>30</v>
      </c>
      <c r="K99" s="16">
        <v>20</v>
      </c>
      <c r="L99" s="16">
        <v>3</v>
      </c>
      <c r="M99" s="17">
        <v>62</v>
      </c>
    </row>
  </sheetData>
  <autoFilter ref="A1:M99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3C05-3B58-4E32-A9A4-EA989C5B37A0}">
  <dimension ref="A2:L55"/>
  <sheetViews>
    <sheetView topLeftCell="A12" workbookViewId="0">
      <selection activeCell="I35" sqref="I35"/>
    </sheetView>
  </sheetViews>
  <sheetFormatPr defaultRowHeight="14.4"/>
  <cols>
    <col min="1" max="1" width="17.88671875" bestFit="1" customWidth="1"/>
    <col min="2" max="2" width="32.33203125" bestFit="1" customWidth="1"/>
    <col min="3" max="4" width="5" bestFit="1" customWidth="1"/>
    <col min="5" max="5" width="10.5546875" bestFit="1" customWidth="1"/>
    <col min="6" max="99" width="5" bestFit="1" customWidth="1"/>
    <col min="100" max="100" width="10.44140625" bestFit="1" customWidth="1"/>
  </cols>
  <sheetData>
    <row r="2" spans="1:12">
      <c r="A2" t="s">
        <v>133</v>
      </c>
    </row>
    <row r="4" spans="1:12" ht="14.4" customHeight="1">
      <c r="A4" s="19" t="s">
        <v>21</v>
      </c>
      <c r="B4" t="s">
        <v>35</v>
      </c>
      <c r="C4" s="24"/>
      <c r="D4" s="24"/>
      <c r="I4" s="29"/>
      <c r="J4" s="29"/>
      <c r="K4" s="29"/>
      <c r="L4" s="29"/>
    </row>
    <row r="5" spans="1:12">
      <c r="A5" s="18"/>
      <c r="B5" s="18"/>
      <c r="C5" s="18"/>
      <c r="D5" s="18"/>
    </row>
    <row r="6" spans="1:12">
      <c r="A6" s="19" t="s">
        <v>19</v>
      </c>
      <c r="B6" t="s">
        <v>129</v>
      </c>
      <c r="I6" s="29"/>
      <c r="J6" s="29"/>
      <c r="K6" s="29"/>
      <c r="L6" s="29"/>
    </row>
    <row r="7" spans="1:12">
      <c r="A7" t="s">
        <v>33</v>
      </c>
      <c r="B7" s="30">
        <v>14</v>
      </c>
    </row>
    <row r="8" spans="1:12">
      <c r="A8" t="s">
        <v>30</v>
      </c>
      <c r="B8" s="30">
        <v>19</v>
      </c>
      <c r="I8" s="29"/>
      <c r="J8" s="29"/>
      <c r="K8" s="29"/>
      <c r="L8" s="29"/>
    </row>
    <row r="9" spans="1:12">
      <c r="A9" t="s">
        <v>130</v>
      </c>
      <c r="B9" s="30">
        <v>33</v>
      </c>
    </row>
    <row r="11" spans="1:12">
      <c r="A11" t="s">
        <v>134</v>
      </c>
    </row>
    <row r="13" spans="1:12" s="18" customFormat="1">
      <c r="A13" s="31" t="s">
        <v>21</v>
      </c>
      <c r="B13" t="s">
        <v>35</v>
      </c>
    </row>
    <row r="15" spans="1:12">
      <c r="A15" s="19" t="s">
        <v>131</v>
      </c>
      <c r="B15" t="s">
        <v>145</v>
      </c>
    </row>
    <row r="16" spans="1:12">
      <c r="A16" s="18" t="s">
        <v>135</v>
      </c>
      <c r="B16" s="30">
        <v>3</v>
      </c>
    </row>
    <row r="17" spans="1:2">
      <c r="A17" s="18" t="s">
        <v>136</v>
      </c>
      <c r="B17" s="30">
        <v>4</v>
      </c>
    </row>
    <row r="18" spans="1:2">
      <c r="A18" s="18" t="s">
        <v>137</v>
      </c>
      <c r="B18" s="30">
        <v>4</v>
      </c>
    </row>
    <row r="19" spans="1:2">
      <c r="A19" s="18" t="s">
        <v>138</v>
      </c>
      <c r="B19" s="30">
        <v>4</v>
      </c>
    </row>
    <row r="20" spans="1:2">
      <c r="A20" s="18" t="s">
        <v>139</v>
      </c>
      <c r="B20" s="30">
        <v>4</v>
      </c>
    </row>
    <row r="21" spans="1:2">
      <c r="A21" s="18" t="s">
        <v>140</v>
      </c>
      <c r="B21" s="30">
        <v>3</v>
      </c>
    </row>
    <row r="22" spans="1:2">
      <c r="A22" s="18" t="s">
        <v>141</v>
      </c>
      <c r="B22" s="30">
        <v>4</v>
      </c>
    </row>
    <row r="23" spans="1:2">
      <c r="A23" s="18" t="s">
        <v>142</v>
      </c>
      <c r="B23" s="30">
        <v>3</v>
      </c>
    </row>
    <row r="24" spans="1:2">
      <c r="A24" s="18" t="s">
        <v>143</v>
      </c>
      <c r="B24" s="30">
        <v>3</v>
      </c>
    </row>
    <row r="25" spans="1:2">
      <c r="A25" s="18" t="s">
        <v>144</v>
      </c>
      <c r="B25" s="30">
        <v>1</v>
      </c>
    </row>
    <row r="26" spans="1:2">
      <c r="A26" s="18" t="s">
        <v>130</v>
      </c>
      <c r="B26" s="30">
        <v>33</v>
      </c>
    </row>
    <row r="28" spans="1:2">
      <c r="A28" s="18" t="s">
        <v>148</v>
      </c>
    </row>
    <row r="30" spans="1:2">
      <c r="A30" s="19" t="s">
        <v>21</v>
      </c>
      <c r="B30" t="s">
        <v>31</v>
      </c>
    </row>
    <row r="32" spans="1:2">
      <c r="A32" s="19" t="s">
        <v>131</v>
      </c>
      <c r="B32" t="s">
        <v>147</v>
      </c>
    </row>
    <row r="33" spans="1:5">
      <c r="A33" s="18" t="s">
        <v>29</v>
      </c>
      <c r="B33" s="32">
        <v>900</v>
      </c>
    </row>
    <row r="34" spans="1:5">
      <c r="A34" s="18" t="s">
        <v>130</v>
      </c>
      <c r="B34" s="32">
        <v>900</v>
      </c>
      <c r="E34" s="33">
        <f>GETPIVOTDATA("Minecraft Season Pass Price",$A$32)</f>
        <v>900</v>
      </c>
    </row>
    <row r="36" spans="1:5">
      <c r="A36" s="18" t="s">
        <v>146</v>
      </c>
    </row>
    <row r="38" spans="1:5">
      <c r="A38" s="19" t="s">
        <v>21</v>
      </c>
      <c r="B38" t="s">
        <v>31</v>
      </c>
      <c r="D38" s="23"/>
    </row>
    <row r="40" spans="1:5">
      <c r="A40" s="19" t="s">
        <v>131</v>
      </c>
      <c r="B40" t="s">
        <v>149</v>
      </c>
    </row>
    <row r="41" spans="1:5">
      <c r="A41" s="18" t="s">
        <v>29</v>
      </c>
      <c r="B41" s="32">
        <v>1350</v>
      </c>
    </row>
    <row r="42" spans="1:5">
      <c r="A42" s="18" t="s">
        <v>130</v>
      </c>
      <c r="B42" s="32">
        <v>1350</v>
      </c>
      <c r="E42" s="33">
        <f>GETPIVOTDATA("EA Play Season Pass
Price",$A$40)</f>
        <v>1350</v>
      </c>
    </row>
    <row r="49" spans="4:4">
      <c r="D49" s="23"/>
    </row>
    <row r="55" spans="4:4">
      <c r="D55" s="23"/>
    </row>
  </sheetData>
  <mergeCells count="3">
    <mergeCell ref="I4:L4"/>
    <mergeCell ref="I6:L6"/>
    <mergeCell ref="I8:L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354C-5454-4248-9B0E-B71C44BF248E}">
  <dimension ref="A1:V35"/>
  <sheetViews>
    <sheetView showGridLines="0" tabSelected="1" topLeftCell="A2" workbookViewId="0">
      <selection activeCell="V20" sqref="V20"/>
    </sheetView>
  </sheetViews>
  <sheetFormatPr defaultColWidth="9.109375" defaultRowHeight="14.4"/>
  <cols>
    <col min="1" max="1" width="16.44140625" style="20" customWidth="1"/>
    <col min="2" max="2" width="2.109375" style="22" hidden="1" customWidth="1"/>
    <col min="3" max="16384" width="9.109375" style="21"/>
  </cols>
  <sheetData>
    <row r="1" spans="1:16" s="20" customFormat="1" ht="51.75" hidden="1" customHeight="1"/>
    <row r="2" spans="1:16" s="22" customFormat="1" ht="45" customHeight="1" thickBot="1">
      <c r="A2" s="20"/>
      <c r="C2" s="25" t="s">
        <v>132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20" spans="22:22">
      <c r="V20" s="34"/>
    </row>
    <row r="35" spans="17:17">
      <c r="Q35" s="26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652F-919A-415C-858F-F41D9F9AC371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Assets</vt:lpstr>
      <vt:lpstr>Base</vt:lpstr>
      <vt:lpstr>Cálculos</vt:lpstr>
      <vt:lpstr>Dashboard</vt:lpstr>
      <vt:lpstr>Extras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Winny dos Santos</cp:lastModifiedBy>
  <cp:revision/>
  <dcterms:created xsi:type="dcterms:W3CDTF">2025-04-09T21:01:04Z</dcterms:created>
  <dcterms:modified xsi:type="dcterms:W3CDTF">2025-04-13T18:39:02Z</dcterms:modified>
  <cp:category/>
  <cp:contentStatus/>
</cp:coreProperties>
</file>